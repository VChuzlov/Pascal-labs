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990D1BBC-11DF-4995-B128-3BE8065A91D6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3" i="1" l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52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27" i="1"/>
  <c r="A53" i="1"/>
  <c r="B53" i="1"/>
  <c r="A57" i="1"/>
  <c r="A59" i="1"/>
  <c r="A61" i="1"/>
  <c r="B61" i="1"/>
  <c r="A65" i="1"/>
  <c r="A67" i="1"/>
  <c r="A69" i="1"/>
  <c r="B69" i="1"/>
  <c r="A72" i="1"/>
  <c r="B72" i="1"/>
  <c r="A73" i="1"/>
  <c r="B73" i="1"/>
  <c r="B74" i="1"/>
  <c r="B52" i="1"/>
  <c r="A52" i="1"/>
  <c r="W26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27" i="1"/>
  <c r="L28" i="1"/>
  <c r="M28" i="1"/>
  <c r="N28" i="1"/>
  <c r="O28" i="1"/>
  <c r="P28" i="1"/>
  <c r="Q28" i="1"/>
  <c r="R28" i="1"/>
  <c r="S28" i="1"/>
  <c r="L29" i="1"/>
  <c r="M29" i="1"/>
  <c r="N29" i="1"/>
  <c r="O29" i="1"/>
  <c r="P29" i="1"/>
  <c r="Q29" i="1"/>
  <c r="R29" i="1"/>
  <c r="S29" i="1"/>
  <c r="L30" i="1"/>
  <c r="M30" i="1"/>
  <c r="N30" i="1"/>
  <c r="O30" i="1"/>
  <c r="P30" i="1"/>
  <c r="Q30" i="1"/>
  <c r="R30" i="1"/>
  <c r="S30" i="1"/>
  <c r="L31" i="1"/>
  <c r="M31" i="1"/>
  <c r="N31" i="1"/>
  <c r="O31" i="1"/>
  <c r="P31" i="1"/>
  <c r="Q31" i="1"/>
  <c r="R31" i="1"/>
  <c r="S31" i="1"/>
  <c r="L32" i="1"/>
  <c r="M32" i="1"/>
  <c r="N32" i="1"/>
  <c r="O32" i="1"/>
  <c r="P32" i="1"/>
  <c r="Q32" i="1"/>
  <c r="R32" i="1"/>
  <c r="S32" i="1"/>
  <c r="L33" i="1"/>
  <c r="M33" i="1"/>
  <c r="N33" i="1"/>
  <c r="O33" i="1"/>
  <c r="P33" i="1"/>
  <c r="Q33" i="1"/>
  <c r="R33" i="1"/>
  <c r="S33" i="1"/>
  <c r="L34" i="1"/>
  <c r="M34" i="1"/>
  <c r="N34" i="1"/>
  <c r="O34" i="1"/>
  <c r="P34" i="1"/>
  <c r="Q34" i="1"/>
  <c r="R34" i="1"/>
  <c r="S34" i="1"/>
  <c r="L35" i="1"/>
  <c r="M35" i="1"/>
  <c r="N35" i="1"/>
  <c r="O35" i="1"/>
  <c r="P35" i="1"/>
  <c r="Q35" i="1"/>
  <c r="R35" i="1"/>
  <c r="S35" i="1"/>
  <c r="L36" i="1"/>
  <c r="M36" i="1"/>
  <c r="N36" i="1"/>
  <c r="O36" i="1"/>
  <c r="P36" i="1"/>
  <c r="Q36" i="1"/>
  <c r="R36" i="1"/>
  <c r="S36" i="1"/>
  <c r="L37" i="1"/>
  <c r="M37" i="1"/>
  <c r="N37" i="1"/>
  <c r="O37" i="1"/>
  <c r="P37" i="1"/>
  <c r="Q37" i="1"/>
  <c r="R37" i="1"/>
  <c r="S37" i="1"/>
  <c r="L38" i="1"/>
  <c r="M38" i="1"/>
  <c r="N38" i="1"/>
  <c r="O38" i="1"/>
  <c r="P38" i="1"/>
  <c r="Q38" i="1"/>
  <c r="R38" i="1"/>
  <c r="S38" i="1"/>
  <c r="L39" i="1"/>
  <c r="M39" i="1"/>
  <c r="N39" i="1"/>
  <c r="O39" i="1"/>
  <c r="P39" i="1"/>
  <c r="Q39" i="1"/>
  <c r="R39" i="1"/>
  <c r="S39" i="1"/>
  <c r="L40" i="1"/>
  <c r="M40" i="1"/>
  <c r="N40" i="1"/>
  <c r="O40" i="1"/>
  <c r="P40" i="1"/>
  <c r="Q40" i="1"/>
  <c r="R40" i="1"/>
  <c r="S40" i="1"/>
  <c r="L41" i="1"/>
  <c r="M41" i="1"/>
  <c r="N41" i="1"/>
  <c r="O41" i="1"/>
  <c r="P41" i="1"/>
  <c r="Q41" i="1"/>
  <c r="R41" i="1"/>
  <c r="S41" i="1"/>
  <c r="L42" i="1"/>
  <c r="M42" i="1"/>
  <c r="N42" i="1"/>
  <c r="O42" i="1"/>
  <c r="P42" i="1"/>
  <c r="Q42" i="1"/>
  <c r="R42" i="1"/>
  <c r="S42" i="1"/>
  <c r="L43" i="1"/>
  <c r="M43" i="1"/>
  <c r="N43" i="1"/>
  <c r="O43" i="1"/>
  <c r="P43" i="1"/>
  <c r="Q43" i="1"/>
  <c r="R43" i="1"/>
  <c r="S43" i="1"/>
  <c r="L44" i="1"/>
  <c r="M44" i="1"/>
  <c r="N44" i="1"/>
  <c r="O44" i="1"/>
  <c r="P44" i="1"/>
  <c r="Q44" i="1"/>
  <c r="R44" i="1"/>
  <c r="S44" i="1"/>
  <c r="L45" i="1"/>
  <c r="M45" i="1"/>
  <c r="N45" i="1"/>
  <c r="O45" i="1"/>
  <c r="P45" i="1"/>
  <c r="Q45" i="1"/>
  <c r="R45" i="1"/>
  <c r="S45" i="1"/>
  <c r="L46" i="1"/>
  <c r="M46" i="1"/>
  <c r="N46" i="1"/>
  <c r="O46" i="1"/>
  <c r="P46" i="1"/>
  <c r="Q46" i="1"/>
  <c r="R46" i="1"/>
  <c r="S46" i="1"/>
  <c r="L47" i="1"/>
  <c r="M47" i="1"/>
  <c r="N47" i="1"/>
  <c r="O47" i="1"/>
  <c r="P47" i="1"/>
  <c r="Q47" i="1"/>
  <c r="R47" i="1"/>
  <c r="S47" i="1"/>
  <c r="L48" i="1"/>
  <c r="M48" i="1"/>
  <c r="N48" i="1"/>
  <c r="O48" i="1"/>
  <c r="P48" i="1"/>
  <c r="Q48" i="1"/>
  <c r="R48" i="1"/>
  <c r="S48" i="1"/>
  <c r="L49" i="1"/>
  <c r="M49" i="1"/>
  <c r="N49" i="1"/>
  <c r="O49" i="1"/>
  <c r="P49" i="1"/>
  <c r="Q49" i="1"/>
  <c r="R49" i="1"/>
  <c r="S49" i="1"/>
  <c r="M27" i="1"/>
  <c r="N27" i="1"/>
  <c r="O27" i="1"/>
  <c r="P27" i="1"/>
  <c r="Q27" i="1"/>
  <c r="R27" i="1"/>
  <c r="S27" i="1"/>
  <c r="L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27" i="1"/>
  <c r="C28" i="1"/>
  <c r="D28" i="1"/>
  <c r="E28" i="1"/>
  <c r="F28" i="1"/>
  <c r="G28" i="1"/>
  <c r="H28" i="1"/>
  <c r="I28" i="1"/>
  <c r="J28" i="1"/>
  <c r="C29" i="1"/>
  <c r="D29" i="1"/>
  <c r="E29" i="1"/>
  <c r="F29" i="1"/>
  <c r="G29" i="1"/>
  <c r="H29" i="1"/>
  <c r="I29" i="1"/>
  <c r="J29" i="1"/>
  <c r="C30" i="1"/>
  <c r="D30" i="1"/>
  <c r="E30" i="1"/>
  <c r="F30" i="1"/>
  <c r="G30" i="1"/>
  <c r="H30" i="1"/>
  <c r="I30" i="1"/>
  <c r="J30" i="1"/>
  <c r="C31" i="1"/>
  <c r="D31" i="1"/>
  <c r="E31" i="1"/>
  <c r="F31" i="1"/>
  <c r="G31" i="1"/>
  <c r="H31" i="1"/>
  <c r="I31" i="1"/>
  <c r="J31" i="1"/>
  <c r="C32" i="1"/>
  <c r="D32" i="1"/>
  <c r="E32" i="1"/>
  <c r="F32" i="1"/>
  <c r="G32" i="1"/>
  <c r="H32" i="1"/>
  <c r="I32" i="1"/>
  <c r="J32" i="1"/>
  <c r="C33" i="1"/>
  <c r="D33" i="1"/>
  <c r="E33" i="1"/>
  <c r="F33" i="1"/>
  <c r="G33" i="1"/>
  <c r="H33" i="1"/>
  <c r="I33" i="1"/>
  <c r="J33" i="1"/>
  <c r="C34" i="1"/>
  <c r="D34" i="1"/>
  <c r="E34" i="1"/>
  <c r="F34" i="1"/>
  <c r="G34" i="1"/>
  <c r="H34" i="1"/>
  <c r="I34" i="1"/>
  <c r="J34" i="1"/>
  <c r="C35" i="1"/>
  <c r="D35" i="1"/>
  <c r="E35" i="1"/>
  <c r="F35" i="1"/>
  <c r="G35" i="1"/>
  <c r="H35" i="1"/>
  <c r="I35" i="1"/>
  <c r="J35" i="1"/>
  <c r="C36" i="1"/>
  <c r="D36" i="1"/>
  <c r="E36" i="1"/>
  <c r="F36" i="1"/>
  <c r="G36" i="1"/>
  <c r="H36" i="1"/>
  <c r="I36" i="1"/>
  <c r="J36" i="1"/>
  <c r="C37" i="1"/>
  <c r="D37" i="1"/>
  <c r="E37" i="1"/>
  <c r="F37" i="1"/>
  <c r="G37" i="1"/>
  <c r="H37" i="1"/>
  <c r="I37" i="1"/>
  <c r="J37" i="1"/>
  <c r="C38" i="1"/>
  <c r="D38" i="1"/>
  <c r="E38" i="1"/>
  <c r="F38" i="1"/>
  <c r="G38" i="1"/>
  <c r="H38" i="1"/>
  <c r="I38" i="1"/>
  <c r="J38" i="1"/>
  <c r="C39" i="1"/>
  <c r="D39" i="1"/>
  <c r="E39" i="1"/>
  <c r="F39" i="1"/>
  <c r="G39" i="1"/>
  <c r="H39" i="1"/>
  <c r="I39" i="1"/>
  <c r="J39" i="1"/>
  <c r="C40" i="1"/>
  <c r="D40" i="1"/>
  <c r="E40" i="1"/>
  <c r="F40" i="1"/>
  <c r="G40" i="1"/>
  <c r="H40" i="1"/>
  <c r="I40" i="1"/>
  <c r="J40" i="1"/>
  <c r="C41" i="1"/>
  <c r="D41" i="1"/>
  <c r="E41" i="1"/>
  <c r="F41" i="1"/>
  <c r="G41" i="1"/>
  <c r="H41" i="1"/>
  <c r="I41" i="1"/>
  <c r="J41" i="1"/>
  <c r="C42" i="1"/>
  <c r="D42" i="1"/>
  <c r="E42" i="1"/>
  <c r="F42" i="1"/>
  <c r="G42" i="1"/>
  <c r="H42" i="1"/>
  <c r="I42" i="1"/>
  <c r="J42" i="1"/>
  <c r="C43" i="1"/>
  <c r="D43" i="1"/>
  <c r="E43" i="1"/>
  <c r="F43" i="1"/>
  <c r="G43" i="1"/>
  <c r="H43" i="1"/>
  <c r="I43" i="1"/>
  <c r="J43" i="1"/>
  <c r="C44" i="1"/>
  <c r="D44" i="1"/>
  <c r="E44" i="1"/>
  <c r="F44" i="1"/>
  <c r="G44" i="1"/>
  <c r="H44" i="1"/>
  <c r="I44" i="1"/>
  <c r="J44" i="1"/>
  <c r="C45" i="1"/>
  <c r="D45" i="1"/>
  <c r="E45" i="1"/>
  <c r="F45" i="1"/>
  <c r="G45" i="1"/>
  <c r="H45" i="1"/>
  <c r="I45" i="1"/>
  <c r="J45" i="1"/>
  <c r="C46" i="1"/>
  <c r="D46" i="1"/>
  <c r="E46" i="1"/>
  <c r="F46" i="1"/>
  <c r="G46" i="1"/>
  <c r="H46" i="1"/>
  <c r="I46" i="1"/>
  <c r="J46" i="1"/>
  <c r="C47" i="1"/>
  <c r="D47" i="1"/>
  <c r="E47" i="1"/>
  <c r="F47" i="1"/>
  <c r="G47" i="1"/>
  <c r="H47" i="1"/>
  <c r="I47" i="1"/>
  <c r="J47" i="1"/>
  <c r="C48" i="1"/>
  <c r="D48" i="1"/>
  <c r="E48" i="1"/>
  <c r="F48" i="1"/>
  <c r="G48" i="1"/>
  <c r="H48" i="1"/>
  <c r="I48" i="1"/>
  <c r="J48" i="1"/>
  <c r="C49" i="1"/>
  <c r="D49" i="1"/>
  <c r="E49" i="1"/>
  <c r="F49" i="1"/>
  <c r="G49" i="1"/>
  <c r="H49" i="1"/>
  <c r="I49" i="1"/>
  <c r="J49" i="1"/>
  <c r="D27" i="1"/>
  <c r="E27" i="1"/>
  <c r="F27" i="1"/>
  <c r="G27" i="1"/>
  <c r="H27" i="1"/>
  <c r="I27" i="1"/>
  <c r="J27" i="1"/>
  <c r="C27" i="1"/>
  <c r="B28" i="1"/>
  <c r="B29" i="1"/>
  <c r="B54" i="1" s="1"/>
  <c r="B30" i="1"/>
  <c r="B55" i="1" s="1"/>
  <c r="B31" i="1"/>
  <c r="B56" i="1" s="1"/>
  <c r="B32" i="1"/>
  <c r="B57" i="1" s="1"/>
  <c r="B33" i="1"/>
  <c r="B58" i="1" s="1"/>
  <c r="B34" i="1"/>
  <c r="B59" i="1" s="1"/>
  <c r="B35" i="1"/>
  <c r="B60" i="1" s="1"/>
  <c r="B36" i="1"/>
  <c r="B37" i="1"/>
  <c r="B62" i="1" s="1"/>
  <c r="B38" i="1"/>
  <c r="B63" i="1" s="1"/>
  <c r="B39" i="1"/>
  <c r="B64" i="1" s="1"/>
  <c r="B40" i="1"/>
  <c r="B65" i="1" s="1"/>
  <c r="B41" i="1"/>
  <c r="B66" i="1" s="1"/>
  <c r="B42" i="1"/>
  <c r="B67" i="1" s="1"/>
  <c r="B43" i="1"/>
  <c r="B68" i="1" s="1"/>
  <c r="B44" i="1"/>
  <c r="B45" i="1"/>
  <c r="B70" i="1" s="1"/>
  <c r="B46" i="1"/>
  <c r="B71" i="1" s="1"/>
  <c r="B47" i="1"/>
  <c r="B48" i="1"/>
  <c r="B49" i="1"/>
  <c r="B27" i="1"/>
  <c r="A47" i="1"/>
  <c r="A48" i="1"/>
  <c r="A49" i="1"/>
  <c r="A74" i="1" s="1"/>
  <c r="A28" i="1"/>
  <c r="A29" i="1"/>
  <c r="A54" i="1" s="1"/>
  <c r="A30" i="1"/>
  <c r="A55" i="1" s="1"/>
  <c r="A31" i="1"/>
  <c r="A56" i="1" s="1"/>
  <c r="A32" i="1"/>
  <c r="A33" i="1"/>
  <c r="A58" i="1" s="1"/>
  <c r="A34" i="1"/>
  <c r="A35" i="1"/>
  <c r="A60" i="1" s="1"/>
  <c r="A36" i="1"/>
  <c r="A37" i="1"/>
  <c r="A62" i="1" s="1"/>
  <c r="A38" i="1"/>
  <c r="A63" i="1" s="1"/>
  <c r="A39" i="1"/>
  <c r="A64" i="1" s="1"/>
  <c r="A40" i="1"/>
  <c r="A41" i="1"/>
  <c r="A66" i="1" s="1"/>
  <c r="A42" i="1"/>
  <c r="A43" i="1"/>
  <c r="A68" i="1" s="1"/>
  <c r="A44" i="1"/>
  <c r="A45" i="1"/>
  <c r="A70" i="1" s="1"/>
  <c r="A46" i="1"/>
  <c r="A71" i="1" s="1"/>
  <c r="A27" i="1"/>
  <c r="D71" i="1" l="1"/>
  <c r="D55" i="1"/>
  <c r="D52" i="1"/>
  <c r="D66" i="1"/>
  <c r="D58" i="1"/>
  <c r="D53" i="1"/>
  <c r="D72" i="1"/>
  <c r="D68" i="1"/>
  <c r="D63" i="1"/>
  <c r="D56" i="1"/>
  <c r="D74" i="1"/>
  <c r="D69" i="1"/>
  <c r="D65" i="1"/>
  <c r="D62" i="1"/>
  <c r="D54" i="1"/>
  <c r="D64" i="1"/>
  <c r="D60" i="1"/>
  <c r="D73" i="1"/>
  <c r="D70" i="1"/>
  <c r="D67" i="1"/>
  <c r="D61" i="1"/>
  <c r="D59" i="1"/>
  <c r="D57" i="1"/>
</calcChain>
</file>

<file path=xl/sharedStrings.xml><?xml version="1.0" encoding="utf-8"?>
<sst xmlns="http://schemas.openxmlformats.org/spreadsheetml/2006/main" count="237" uniqueCount="49">
  <si>
    <t>№</t>
  </si>
  <si>
    <t>Студент</t>
  </si>
  <si>
    <t>Блинова Анна Алексеевна</t>
  </si>
  <si>
    <t>Булах Влада Александровна</t>
  </si>
  <si>
    <t>Давыдов Степан Евгеньевич</t>
  </si>
  <si>
    <t>Дога Дмитрий Вадимович</t>
  </si>
  <si>
    <t>Желудков Александр Сергеевич</t>
  </si>
  <si>
    <t>Колесова Милена Иннокентьевна</t>
  </si>
  <si>
    <t>Крупиков Пётр Анатольевич</t>
  </si>
  <si>
    <t>Курицына Дарья Алексеевна</t>
  </si>
  <si>
    <t>Ли Алина Александровна</t>
  </si>
  <si>
    <t>Милованова Ольга Владимировна</t>
  </si>
  <si>
    <t>Нгуен Тхань Хоа -</t>
  </si>
  <si>
    <t>Петрукович Арсений Сергеевич</t>
  </si>
  <si>
    <t>Платонова Александра Борисовна</t>
  </si>
  <si>
    <t>Потапов Денис Витальевич</t>
  </si>
  <si>
    <t>Саматов Темиржан -</t>
  </si>
  <si>
    <t>Стребков Евгений Александрович</t>
  </si>
  <si>
    <t>Тарандо Александр Станиславович</t>
  </si>
  <si>
    <t>Файзуллина Алина Маратовна</t>
  </si>
  <si>
    <t>Федина Александра Евгеньевна</t>
  </si>
  <si>
    <t>Филимонов Михаил Андреевич</t>
  </si>
  <si>
    <t>Шамшура Мария Алексеевна</t>
  </si>
  <si>
    <t>Шевцов Владислав Витальевич</t>
  </si>
  <si>
    <t>Ябжанов Аян Валерьевич</t>
  </si>
  <si>
    <t>LB1</t>
  </si>
  <si>
    <t>LB2</t>
  </si>
  <si>
    <t>LB3</t>
  </si>
  <si>
    <t>LB4</t>
  </si>
  <si>
    <t>LB5</t>
  </si>
  <si>
    <t>LB6</t>
  </si>
  <si>
    <t>LB7</t>
  </si>
  <si>
    <t>LB8</t>
  </si>
  <si>
    <t>Ref</t>
  </si>
  <si>
    <t>LB9</t>
  </si>
  <si>
    <t>LB10</t>
  </si>
  <si>
    <t>LB11</t>
  </si>
  <si>
    <t>LB12</t>
  </si>
  <si>
    <t>LB13</t>
  </si>
  <si>
    <t>LB14</t>
  </si>
  <si>
    <t>LB15</t>
  </si>
  <si>
    <t>+</t>
  </si>
  <si>
    <t>Rep</t>
  </si>
  <si>
    <t>Lec</t>
  </si>
  <si>
    <t>Sum</t>
  </si>
  <si>
    <t>Ratio</t>
  </si>
  <si>
    <t>ФИО</t>
  </si>
  <si>
    <t>Итоговый рейтинг</t>
  </si>
  <si>
    <t>Оценка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</si>
</sst>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0" xfId="0" applyFont="1"/>
    <xf numFmtId="0" fontId="0" fillId="0" borderId="0" xfId="0" applyAlignment="1">
      <alignment horizontal="center" vertical="center"/>
    </xf>
    <xf numFmtId="0" fontId="0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1" fillId="0" borderId="2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4"/>
  <sheetViews>
    <sheetView tabSelected="1" topLeftCell="A43" workbookViewId="0">
      <selection activeCell="A51" sqref="A51:D74"/>
    </sheetView>
  </sheetViews>
  <sheetFormatPr defaultRowHeight="14.4" x14ac:dyDescent="0.3"/>
  <cols>
    <col min="1" max="1" width="8.88671875" style="3"/>
    <col min="2" max="2" width="32.6640625" style="3" bestFit="1" customWidth="1"/>
  </cols>
  <sheetData>
    <row r="1" spans="1:20" x14ac:dyDescent="0.3">
      <c r="A1" s="1" t="s">
        <v>0</v>
      </c>
      <c r="B1" s="1" t="s">
        <v>1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42</v>
      </c>
    </row>
    <row r="2" spans="1:20" x14ac:dyDescent="0.3">
      <c r="A2" s="2">
        <v>1</v>
      </c>
      <c r="B2" s="2" t="s">
        <v>2</v>
      </c>
      <c r="C2" s="4" t="s">
        <v>41</v>
      </c>
      <c r="D2" s="4" t="s">
        <v>41</v>
      </c>
      <c r="E2" s="4"/>
      <c r="F2" s="4" t="s">
        <v>41</v>
      </c>
      <c r="G2" s="4" t="s">
        <v>41</v>
      </c>
      <c r="H2" s="4" t="s">
        <v>41</v>
      </c>
      <c r="I2" s="4" t="s">
        <v>41</v>
      </c>
      <c r="J2" s="4" t="s">
        <v>41</v>
      </c>
      <c r="L2" s="4" t="s">
        <v>41</v>
      </c>
      <c r="M2" s="4" t="s">
        <v>41</v>
      </c>
      <c r="N2" s="4" t="s">
        <v>41</v>
      </c>
      <c r="O2" s="4" t="s">
        <v>41</v>
      </c>
      <c r="P2" s="4" t="s">
        <v>41</v>
      </c>
      <c r="Q2" s="4" t="s">
        <v>41</v>
      </c>
      <c r="R2" s="4" t="s">
        <v>41</v>
      </c>
      <c r="S2" s="4" t="s">
        <v>41</v>
      </c>
      <c r="T2" s="4">
        <v>10</v>
      </c>
    </row>
    <row r="3" spans="1:20" x14ac:dyDescent="0.3">
      <c r="A3" s="2">
        <v>2</v>
      </c>
      <c r="B3" s="2" t="s">
        <v>3</v>
      </c>
      <c r="C3" s="4" t="s">
        <v>41</v>
      </c>
      <c r="D3" s="4" t="s">
        <v>41</v>
      </c>
      <c r="E3" s="4"/>
      <c r="F3" s="4"/>
      <c r="G3" s="4"/>
      <c r="H3" s="4"/>
      <c r="I3" s="4"/>
      <c r="J3" s="4"/>
      <c r="L3" s="4" t="s">
        <v>41</v>
      </c>
      <c r="M3" s="4" t="s">
        <v>41</v>
      </c>
      <c r="N3" s="4" t="s">
        <v>41</v>
      </c>
      <c r="O3" s="4"/>
      <c r="P3" s="4" t="s">
        <v>41</v>
      </c>
      <c r="Q3" s="4" t="s">
        <v>41</v>
      </c>
      <c r="R3" s="4" t="s">
        <v>41</v>
      </c>
      <c r="S3" s="4" t="s">
        <v>41</v>
      </c>
      <c r="T3" s="4">
        <v>9</v>
      </c>
    </row>
    <row r="4" spans="1:20" x14ac:dyDescent="0.3">
      <c r="A4" s="2">
        <v>3</v>
      </c>
      <c r="B4" s="2" t="s">
        <v>4</v>
      </c>
      <c r="C4" s="4" t="s">
        <v>41</v>
      </c>
      <c r="D4" s="4" t="s">
        <v>41</v>
      </c>
      <c r="E4" s="4"/>
      <c r="F4" s="4" t="s">
        <v>41</v>
      </c>
      <c r="G4" s="4" t="s">
        <v>41</v>
      </c>
      <c r="H4" s="4" t="s">
        <v>41</v>
      </c>
      <c r="I4" s="4" t="s">
        <v>41</v>
      </c>
      <c r="J4" s="4" t="s">
        <v>41</v>
      </c>
      <c r="L4" s="4" t="s">
        <v>41</v>
      </c>
      <c r="M4" s="4" t="s">
        <v>41</v>
      </c>
      <c r="N4" s="4" t="s">
        <v>41</v>
      </c>
      <c r="O4" s="4" t="s">
        <v>41</v>
      </c>
      <c r="P4" s="4"/>
      <c r="Q4" s="4"/>
      <c r="R4" s="4" t="s">
        <v>41</v>
      </c>
      <c r="S4" s="4" t="s">
        <v>41</v>
      </c>
      <c r="T4" s="4">
        <v>10</v>
      </c>
    </row>
    <row r="5" spans="1:20" x14ac:dyDescent="0.3">
      <c r="A5" s="2">
        <v>4</v>
      </c>
      <c r="B5" s="2" t="s">
        <v>5</v>
      </c>
      <c r="C5" s="4" t="s">
        <v>41</v>
      </c>
      <c r="D5" s="4" t="s">
        <v>41</v>
      </c>
      <c r="E5" s="4"/>
      <c r="F5" s="4" t="s">
        <v>41</v>
      </c>
      <c r="G5" s="4" t="s">
        <v>41</v>
      </c>
      <c r="H5" s="4" t="s">
        <v>41</v>
      </c>
      <c r="I5" s="4" t="s">
        <v>41</v>
      </c>
      <c r="J5" s="4" t="s">
        <v>41</v>
      </c>
      <c r="K5">
        <v>10</v>
      </c>
      <c r="L5" s="4" t="s">
        <v>41</v>
      </c>
      <c r="M5" s="4" t="s">
        <v>41</v>
      </c>
      <c r="N5" s="4" t="s">
        <v>41</v>
      </c>
      <c r="O5" s="4" t="s">
        <v>41</v>
      </c>
      <c r="P5" s="4" t="s">
        <v>41</v>
      </c>
      <c r="Q5" s="4" t="s">
        <v>41</v>
      </c>
      <c r="R5" s="4" t="s">
        <v>41</v>
      </c>
      <c r="S5" s="4" t="s">
        <v>41</v>
      </c>
      <c r="T5" s="4">
        <v>10</v>
      </c>
    </row>
    <row r="6" spans="1:20" x14ac:dyDescent="0.3">
      <c r="A6" s="2">
        <v>5</v>
      </c>
      <c r="B6" s="2" t="s">
        <v>6</v>
      </c>
      <c r="C6" s="4" t="s">
        <v>41</v>
      </c>
      <c r="D6" s="4"/>
      <c r="E6" s="4" t="s">
        <v>41</v>
      </c>
      <c r="F6" s="4"/>
      <c r="G6" s="4"/>
      <c r="H6" s="4" t="s">
        <v>41</v>
      </c>
      <c r="I6" s="4"/>
      <c r="J6" s="4" t="s">
        <v>41</v>
      </c>
      <c r="L6" s="4"/>
      <c r="M6" s="4"/>
      <c r="N6" s="4" t="s">
        <v>41</v>
      </c>
      <c r="O6" s="4"/>
      <c r="P6" s="4"/>
      <c r="Q6" s="4" t="s">
        <v>41</v>
      </c>
      <c r="R6" s="4" t="s">
        <v>41</v>
      </c>
      <c r="S6" s="4"/>
      <c r="T6" s="4"/>
    </row>
    <row r="7" spans="1:20" x14ac:dyDescent="0.3">
      <c r="A7" s="2">
        <v>6</v>
      </c>
      <c r="B7" s="2" t="s">
        <v>7</v>
      </c>
      <c r="C7" s="4" t="s">
        <v>41</v>
      </c>
      <c r="D7" s="4" t="s">
        <v>41</v>
      </c>
      <c r="E7" s="4"/>
      <c r="F7" s="4" t="s">
        <v>41</v>
      </c>
      <c r="G7" s="4" t="s">
        <v>41</v>
      </c>
      <c r="H7" s="4" t="s">
        <v>41</v>
      </c>
      <c r="I7" s="4"/>
      <c r="J7" s="4"/>
      <c r="L7" s="4" t="s">
        <v>41</v>
      </c>
      <c r="M7" s="4"/>
      <c r="N7" s="4" t="s">
        <v>41</v>
      </c>
      <c r="O7" s="4"/>
      <c r="P7" s="4" t="s">
        <v>41</v>
      </c>
      <c r="Q7" s="4"/>
      <c r="R7" s="4" t="s">
        <v>41</v>
      </c>
      <c r="S7" s="4" t="s">
        <v>41</v>
      </c>
      <c r="T7" s="4">
        <v>10</v>
      </c>
    </row>
    <row r="8" spans="1:20" x14ac:dyDescent="0.3">
      <c r="A8" s="2">
        <v>7</v>
      </c>
      <c r="B8" s="2" t="s">
        <v>8</v>
      </c>
      <c r="C8" s="4" t="s">
        <v>41</v>
      </c>
      <c r="D8" s="4" t="s">
        <v>41</v>
      </c>
      <c r="E8" s="4" t="s">
        <v>41</v>
      </c>
      <c r="F8" s="4" t="s">
        <v>41</v>
      </c>
      <c r="G8" s="4"/>
      <c r="H8" s="4"/>
      <c r="I8" s="4"/>
      <c r="J8" s="4"/>
      <c r="L8" s="4"/>
      <c r="M8" s="4" t="s">
        <v>41</v>
      </c>
      <c r="N8" s="4" t="s">
        <v>41</v>
      </c>
      <c r="O8" s="4"/>
      <c r="P8" s="4"/>
      <c r="Q8" s="4"/>
      <c r="R8" s="4"/>
      <c r="S8" s="4"/>
      <c r="T8" s="4"/>
    </row>
    <row r="9" spans="1:20" x14ac:dyDescent="0.3">
      <c r="A9" s="2">
        <v>8</v>
      </c>
      <c r="B9" s="2" t="s">
        <v>9</v>
      </c>
      <c r="C9" s="4" t="s">
        <v>41</v>
      </c>
      <c r="D9" s="4" t="s">
        <v>41</v>
      </c>
      <c r="E9" s="4"/>
      <c r="F9" s="4" t="s">
        <v>41</v>
      </c>
      <c r="G9" s="4" t="s">
        <v>41</v>
      </c>
      <c r="H9" s="4" t="s">
        <v>41</v>
      </c>
      <c r="I9" s="4" t="s">
        <v>41</v>
      </c>
      <c r="J9" s="4" t="s">
        <v>41</v>
      </c>
      <c r="L9" s="4" t="s">
        <v>41</v>
      </c>
      <c r="M9" s="4" t="s">
        <v>41</v>
      </c>
      <c r="N9" s="4" t="s">
        <v>41</v>
      </c>
      <c r="O9" s="4" t="s">
        <v>41</v>
      </c>
      <c r="P9" s="4" t="s">
        <v>41</v>
      </c>
      <c r="Q9" s="4"/>
      <c r="R9" s="4" t="s">
        <v>41</v>
      </c>
      <c r="S9" s="4"/>
      <c r="T9" s="4">
        <v>10</v>
      </c>
    </row>
    <row r="10" spans="1:20" x14ac:dyDescent="0.3">
      <c r="A10" s="2">
        <v>9</v>
      </c>
      <c r="B10" s="2" t="s">
        <v>10</v>
      </c>
      <c r="C10" s="4" t="s">
        <v>41</v>
      </c>
      <c r="D10" s="4" t="s">
        <v>41</v>
      </c>
      <c r="E10" s="4"/>
      <c r="F10" s="4" t="s">
        <v>41</v>
      </c>
      <c r="G10" s="4" t="s">
        <v>41</v>
      </c>
      <c r="H10" s="4"/>
      <c r="I10" s="4" t="s">
        <v>41</v>
      </c>
      <c r="J10" s="4" t="s">
        <v>41</v>
      </c>
      <c r="K10">
        <v>10</v>
      </c>
      <c r="L10" s="4" t="s">
        <v>41</v>
      </c>
      <c r="M10" s="4" t="s">
        <v>41</v>
      </c>
      <c r="N10" s="4" t="s">
        <v>41</v>
      </c>
      <c r="O10" s="4" t="s">
        <v>41</v>
      </c>
      <c r="P10" s="4"/>
      <c r="Q10" s="4" t="s">
        <v>41</v>
      </c>
      <c r="R10" s="4" t="s">
        <v>41</v>
      </c>
      <c r="S10" s="4" t="s">
        <v>41</v>
      </c>
      <c r="T10" s="4">
        <v>7</v>
      </c>
    </row>
    <row r="11" spans="1:20" x14ac:dyDescent="0.3">
      <c r="A11" s="2">
        <v>10</v>
      </c>
      <c r="B11" s="2" t="s">
        <v>11</v>
      </c>
      <c r="C11" s="4" t="s">
        <v>41</v>
      </c>
      <c r="D11" s="4"/>
      <c r="E11" s="4"/>
      <c r="F11" s="4" t="s">
        <v>41</v>
      </c>
      <c r="G11" s="4"/>
      <c r="H11" s="4"/>
      <c r="I11" s="4" t="s">
        <v>41</v>
      </c>
      <c r="J11" s="4" t="s">
        <v>41</v>
      </c>
      <c r="L11" s="4" t="s">
        <v>41</v>
      </c>
      <c r="M11" s="4" t="s">
        <v>41</v>
      </c>
      <c r="N11" s="4"/>
      <c r="O11" s="4" t="s">
        <v>41</v>
      </c>
      <c r="P11" s="4"/>
      <c r="Q11" s="4" t="s">
        <v>41</v>
      </c>
      <c r="R11" s="4"/>
      <c r="S11" s="4"/>
      <c r="T11" s="4"/>
    </row>
    <row r="12" spans="1:20" x14ac:dyDescent="0.3">
      <c r="A12" s="2">
        <v>11</v>
      </c>
      <c r="B12" s="2" t="s">
        <v>12</v>
      </c>
      <c r="C12" s="4" t="s">
        <v>41</v>
      </c>
      <c r="D12" s="4" t="s">
        <v>41</v>
      </c>
      <c r="E12" s="4"/>
      <c r="F12" s="4" t="s">
        <v>41</v>
      </c>
      <c r="G12" s="4" t="s">
        <v>41</v>
      </c>
      <c r="H12" s="4" t="s">
        <v>41</v>
      </c>
      <c r="I12" s="4"/>
      <c r="J12" s="4" t="s">
        <v>41</v>
      </c>
      <c r="K12">
        <v>5</v>
      </c>
      <c r="L12" s="4"/>
      <c r="M12" s="4" t="s">
        <v>41</v>
      </c>
      <c r="N12" s="4" t="s">
        <v>41</v>
      </c>
      <c r="O12" s="4" t="s">
        <v>41</v>
      </c>
      <c r="P12" s="4"/>
      <c r="Q12" s="4" t="s">
        <v>41</v>
      </c>
      <c r="R12" s="4" t="s">
        <v>41</v>
      </c>
      <c r="S12" s="4" t="s">
        <v>41</v>
      </c>
      <c r="T12" s="4">
        <v>5</v>
      </c>
    </row>
    <row r="13" spans="1:20" x14ac:dyDescent="0.3">
      <c r="A13" s="2">
        <v>12</v>
      </c>
      <c r="B13" s="2" t="s">
        <v>13</v>
      </c>
      <c r="C13" s="4" t="s">
        <v>41</v>
      </c>
      <c r="D13" s="4" t="s">
        <v>41</v>
      </c>
      <c r="E13" s="4" t="s">
        <v>41</v>
      </c>
      <c r="F13" s="4" t="s">
        <v>41</v>
      </c>
      <c r="G13" s="4" t="s">
        <v>41</v>
      </c>
      <c r="H13" s="4"/>
      <c r="I13" s="4" t="s">
        <v>41</v>
      </c>
      <c r="J13" s="4"/>
      <c r="L13" s="4"/>
      <c r="M13" s="4"/>
      <c r="N13" s="4" t="s">
        <v>41</v>
      </c>
      <c r="O13" s="4"/>
      <c r="P13" s="4"/>
      <c r="Q13" s="4"/>
      <c r="R13" s="4"/>
      <c r="S13" s="4" t="s">
        <v>41</v>
      </c>
      <c r="T13" s="4"/>
    </row>
    <row r="14" spans="1:20" x14ac:dyDescent="0.3">
      <c r="A14" s="2">
        <v>13</v>
      </c>
      <c r="B14" s="2" t="s">
        <v>14</v>
      </c>
      <c r="C14" s="4" t="s">
        <v>41</v>
      </c>
      <c r="D14" s="4" t="s">
        <v>41</v>
      </c>
      <c r="E14" s="4" t="s">
        <v>41</v>
      </c>
      <c r="F14" s="4" t="s">
        <v>41</v>
      </c>
      <c r="G14" s="4" t="s">
        <v>41</v>
      </c>
      <c r="H14" s="4" t="s">
        <v>41</v>
      </c>
      <c r="I14" s="4"/>
      <c r="J14" s="4"/>
      <c r="L14" s="4" t="s">
        <v>41</v>
      </c>
      <c r="M14" s="4" t="s">
        <v>41</v>
      </c>
      <c r="N14" s="4"/>
      <c r="O14" s="4" t="s">
        <v>41</v>
      </c>
      <c r="P14" s="4" t="s">
        <v>41</v>
      </c>
      <c r="Q14" s="4" t="s">
        <v>41</v>
      </c>
      <c r="R14" s="4" t="s">
        <v>41</v>
      </c>
      <c r="S14" s="4" t="s">
        <v>41</v>
      </c>
      <c r="T14" s="4">
        <v>10</v>
      </c>
    </row>
    <row r="15" spans="1:20" x14ac:dyDescent="0.3">
      <c r="A15" s="2">
        <v>14</v>
      </c>
      <c r="B15" s="2" t="s">
        <v>15</v>
      </c>
      <c r="C15" s="4"/>
      <c r="D15" s="4"/>
      <c r="E15" s="4"/>
      <c r="F15" s="4"/>
      <c r="G15" s="4"/>
      <c r="H15" s="4"/>
      <c r="I15" s="4"/>
      <c r="J15" s="4"/>
      <c r="L15" s="4"/>
      <c r="M15" s="4"/>
      <c r="N15" s="4"/>
      <c r="O15" s="4"/>
      <c r="P15" s="4"/>
      <c r="Q15" s="4"/>
      <c r="R15" s="4"/>
      <c r="S15" s="4"/>
      <c r="T15" s="4"/>
    </row>
    <row r="16" spans="1:20" x14ac:dyDescent="0.3">
      <c r="A16" s="2">
        <v>15</v>
      </c>
      <c r="B16" s="2" t="s">
        <v>16</v>
      </c>
      <c r="C16" s="4"/>
      <c r="D16" s="4"/>
      <c r="E16" s="4"/>
      <c r="F16" s="4"/>
      <c r="G16" s="4"/>
      <c r="H16" s="4"/>
      <c r="I16" s="4"/>
      <c r="J16" s="4"/>
      <c r="L16" s="4"/>
      <c r="M16" s="4"/>
      <c r="N16" s="4"/>
      <c r="O16" s="4"/>
      <c r="P16" s="4"/>
      <c r="Q16" s="4"/>
      <c r="R16" s="4"/>
      <c r="S16" s="4"/>
      <c r="T16" s="4"/>
    </row>
    <row r="17" spans="1:23" x14ac:dyDescent="0.3">
      <c r="A17" s="2">
        <v>16</v>
      </c>
      <c r="B17" s="2" t="s">
        <v>17</v>
      </c>
      <c r="C17" s="4" t="s">
        <v>41</v>
      </c>
      <c r="D17" s="4" t="s">
        <v>41</v>
      </c>
      <c r="E17" s="4"/>
      <c r="F17" s="4" t="s">
        <v>41</v>
      </c>
      <c r="G17" s="4" t="s">
        <v>41</v>
      </c>
      <c r="H17" s="4" t="s">
        <v>41</v>
      </c>
      <c r="I17" s="4" t="s">
        <v>41</v>
      </c>
      <c r="J17" s="4" t="s">
        <v>41</v>
      </c>
      <c r="K17" s="4"/>
      <c r="L17" s="4" t="s">
        <v>41</v>
      </c>
      <c r="M17" s="4" t="s">
        <v>41</v>
      </c>
      <c r="N17" s="4" t="s">
        <v>41</v>
      </c>
      <c r="O17" s="4" t="s">
        <v>41</v>
      </c>
      <c r="P17" s="4" t="s">
        <v>41</v>
      </c>
      <c r="Q17" s="4" t="s">
        <v>41</v>
      </c>
      <c r="R17" s="4" t="s">
        <v>41</v>
      </c>
      <c r="S17" s="4" t="s">
        <v>41</v>
      </c>
      <c r="T17" s="4">
        <v>10</v>
      </c>
    </row>
    <row r="18" spans="1:23" x14ac:dyDescent="0.3">
      <c r="A18" s="2">
        <v>17</v>
      </c>
      <c r="B18" s="2" t="s">
        <v>18</v>
      </c>
      <c r="C18" s="4"/>
      <c r="D18" s="4"/>
      <c r="E18" s="4"/>
      <c r="F18" s="4"/>
      <c r="G18" s="4"/>
      <c r="H18" s="4"/>
      <c r="I18" s="4"/>
      <c r="J18" s="4"/>
      <c r="L18" s="4"/>
      <c r="M18" s="4"/>
      <c r="N18" s="4"/>
      <c r="O18" s="4"/>
      <c r="P18" s="4"/>
      <c r="Q18" s="4"/>
      <c r="R18" s="4"/>
      <c r="S18" s="4"/>
      <c r="T18" s="4"/>
    </row>
    <row r="19" spans="1:23" x14ac:dyDescent="0.3">
      <c r="A19" s="2">
        <v>18</v>
      </c>
      <c r="B19" s="2" t="s">
        <v>19</v>
      </c>
      <c r="C19" s="4" t="s">
        <v>41</v>
      </c>
      <c r="D19" s="4" t="s">
        <v>41</v>
      </c>
      <c r="E19" s="4"/>
      <c r="F19" s="4"/>
      <c r="G19" s="4"/>
      <c r="H19" s="4"/>
      <c r="I19" s="4"/>
      <c r="J19" s="4"/>
      <c r="L19" s="4"/>
      <c r="M19" s="4"/>
      <c r="N19" s="4"/>
      <c r="O19" s="4"/>
      <c r="P19" s="4"/>
      <c r="Q19" s="4"/>
      <c r="R19" s="4"/>
      <c r="S19" s="4"/>
      <c r="T19" s="4"/>
    </row>
    <row r="20" spans="1:23" x14ac:dyDescent="0.3">
      <c r="A20" s="2">
        <v>19</v>
      </c>
      <c r="B20" s="2" t="s">
        <v>20</v>
      </c>
      <c r="C20" s="4"/>
      <c r="D20" s="4"/>
      <c r="E20" s="4"/>
      <c r="F20" s="4"/>
      <c r="G20" s="4"/>
      <c r="H20" s="4"/>
      <c r="I20" s="4"/>
      <c r="J20" s="4"/>
      <c r="L20" s="4"/>
      <c r="M20" s="4"/>
      <c r="N20" s="4"/>
      <c r="O20" s="4"/>
      <c r="P20" s="4"/>
      <c r="Q20" s="4"/>
      <c r="R20" s="4"/>
      <c r="S20" s="4"/>
      <c r="T20" s="4"/>
    </row>
    <row r="21" spans="1:23" x14ac:dyDescent="0.3">
      <c r="A21" s="2">
        <v>20</v>
      </c>
      <c r="B21" s="2" t="s">
        <v>21</v>
      </c>
      <c r="C21" s="4" t="s">
        <v>41</v>
      </c>
      <c r="D21" s="4" t="s">
        <v>41</v>
      </c>
      <c r="E21" s="4" t="s">
        <v>41</v>
      </c>
      <c r="F21" s="4" t="s">
        <v>41</v>
      </c>
      <c r="G21" s="4" t="s">
        <v>41</v>
      </c>
      <c r="H21" s="4" t="s">
        <v>41</v>
      </c>
      <c r="I21" s="4" t="s">
        <v>41</v>
      </c>
      <c r="J21" s="4" t="s">
        <v>41</v>
      </c>
      <c r="K21" s="4"/>
      <c r="L21" s="4" t="s">
        <v>41</v>
      </c>
      <c r="M21" s="4" t="s">
        <v>41</v>
      </c>
      <c r="N21" s="4" t="s">
        <v>41</v>
      </c>
      <c r="O21" s="4" t="s">
        <v>41</v>
      </c>
      <c r="P21" s="4" t="s">
        <v>41</v>
      </c>
      <c r="Q21" s="4" t="s">
        <v>41</v>
      </c>
      <c r="R21" s="4" t="s">
        <v>41</v>
      </c>
      <c r="S21" s="4" t="s">
        <v>41</v>
      </c>
      <c r="T21" s="4">
        <v>10</v>
      </c>
    </row>
    <row r="22" spans="1:23" x14ac:dyDescent="0.3">
      <c r="A22" s="2">
        <v>21</v>
      </c>
      <c r="B22" s="2" t="s">
        <v>22</v>
      </c>
      <c r="C22" s="4"/>
      <c r="D22" s="4"/>
      <c r="E22" s="4"/>
      <c r="F22" s="4"/>
      <c r="G22" s="4"/>
      <c r="H22" s="4"/>
      <c r="I22" s="4"/>
      <c r="J22" s="4"/>
      <c r="L22" s="4"/>
      <c r="M22" s="4"/>
      <c r="N22" s="4"/>
      <c r="O22" s="4"/>
      <c r="P22" s="4"/>
      <c r="Q22" s="4"/>
      <c r="R22" s="4"/>
      <c r="S22" s="4"/>
      <c r="T22" s="4"/>
    </row>
    <row r="23" spans="1:23" x14ac:dyDescent="0.3">
      <c r="A23" s="2">
        <v>22</v>
      </c>
      <c r="B23" s="2" t="s">
        <v>23</v>
      </c>
      <c r="C23" s="4" t="s">
        <v>41</v>
      </c>
      <c r="D23" s="4" t="s">
        <v>41</v>
      </c>
      <c r="E23" s="4"/>
      <c r="F23" s="4" t="s">
        <v>41</v>
      </c>
      <c r="G23" s="4"/>
      <c r="H23" s="4"/>
      <c r="I23" s="4"/>
      <c r="J23" s="4"/>
      <c r="L23" s="4"/>
      <c r="M23" s="4"/>
      <c r="N23" s="4"/>
      <c r="O23" s="4"/>
      <c r="P23" s="4"/>
      <c r="Q23" s="4"/>
      <c r="R23" s="4" t="s">
        <v>41</v>
      </c>
      <c r="S23" s="4"/>
      <c r="T23" s="4"/>
    </row>
    <row r="24" spans="1:23" x14ac:dyDescent="0.3">
      <c r="A24" s="2">
        <v>23</v>
      </c>
      <c r="B24" s="2" t="s">
        <v>24</v>
      </c>
      <c r="C24" s="4" t="s">
        <v>41</v>
      </c>
      <c r="D24" s="4" t="s">
        <v>41</v>
      </c>
      <c r="E24" s="4"/>
      <c r="F24" s="4"/>
      <c r="G24" s="4"/>
      <c r="H24" s="4" t="s">
        <v>41</v>
      </c>
      <c r="I24" s="4"/>
      <c r="J24" s="4"/>
      <c r="L24" s="4" t="s">
        <v>41</v>
      </c>
      <c r="M24" s="4"/>
      <c r="N24" s="4" t="s">
        <v>41</v>
      </c>
      <c r="O24" s="4"/>
      <c r="P24" s="4" t="s">
        <v>41</v>
      </c>
      <c r="Q24" s="4"/>
      <c r="R24" s="4" t="s">
        <v>41</v>
      </c>
      <c r="S24" s="4" t="s">
        <v>41</v>
      </c>
      <c r="T24" s="4"/>
    </row>
    <row r="25" spans="1:23" x14ac:dyDescent="0.3">
      <c r="U25" t="s">
        <v>43</v>
      </c>
      <c r="V25" t="s">
        <v>45</v>
      </c>
      <c r="W25" t="s">
        <v>44</v>
      </c>
    </row>
    <row r="26" spans="1:23" x14ac:dyDescent="0.3">
      <c r="C26">
        <v>4.5</v>
      </c>
      <c r="U26">
        <v>8</v>
      </c>
      <c r="W26">
        <f>U26+16*C26+10+10</f>
        <v>100</v>
      </c>
    </row>
    <row r="27" spans="1:23" x14ac:dyDescent="0.3">
      <c r="A27" s="3">
        <f>A2</f>
        <v>1</v>
      </c>
      <c r="B27" s="3" t="str">
        <f>B2</f>
        <v>Блинова Анна Алексеевна</v>
      </c>
      <c r="C27">
        <f>IF(C2="+",$C$26,0)</f>
        <v>4.5</v>
      </c>
      <c r="D27">
        <f t="shared" ref="D27:J27" si="0">IF(D2="+",$C$26,0)</f>
        <v>4.5</v>
      </c>
      <c r="E27">
        <f t="shared" si="0"/>
        <v>0</v>
      </c>
      <c r="F27">
        <f t="shared" si="0"/>
        <v>4.5</v>
      </c>
      <c r="G27">
        <f t="shared" si="0"/>
        <v>4.5</v>
      </c>
      <c r="H27">
        <f t="shared" si="0"/>
        <v>4.5</v>
      </c>
      <c r="I27">
        <f t="shared" si="0"/>
        <v>4.5</v>
      </c>
      <c r="J27">
        <f t="shared" si="0"/>
        <v>4.5</v>
      </c>
      <c r="K27">
        <f>K2</f>
        <v>0</v>
      </c>
      <c r="L27">
        <f>IF(L2="+",$C$26,0)</f>
        <v>4.5</v>
      </c>
      <c r="M27">
        <f t="shared" ref="M27:S27" si="1">IF(M2="+",$C$26,0)</f>
        <v>4.5</v>
      </c>
      <c r="N27">
        <f t="shared" si="1"/>
        <v>4.5</v>
      </c>
      <c r="O27">
        <f t="shared" si="1"/>
        <v>4.5</v>
      </c>
      <c r="P27">
        <f t="shared" si="1"/>
        <v>4.5</v>
      </c>
      <c r="Q27">
        <f t="shared" si="1"/>
        <v>4.5</v>
      </c>
      <c r="R27">
        <f t="shared" si="1"/>
        <v>4.5</v>
      </c>
      <c r="S27">
        <f t="shared" si="1"/>
        <v>4.5</v>
      </c>
      <c r="T27">
        <f>T2</f>
        <v>10</v>
      </c>
      <c r="V27">
        <v>1</v>
      </c>
      <c r="W27">
        <f>SUM(C27:T27)*V27+U27</f>
        <v>77.5</v>
      </c>
    </row>
    <row r="28" spans="1:23" x14ac:dyDescent="0.3">
      <c r="A28" s="3">
        <f t="shared" ref="A28:B49" si="2">A3</f>
        <v>2</v>
      </c>
      <c r="B28" s="3" t="str">
        <f t="shared" si="2"/>
        <v>Булах Влада Александровна</v>
      </c>
      <c r="C28">
        <f t="shared" ref="C28:J28" si="3">IF(C3="+",$C$26,0)</f>
        <v>4.5</v>
      </c>
      <c r="D28">
        <f t="shared" si="3"/>
        <v>4.5</v>
      </c>
      <c r="E28">
        <f t="shared" si="3"/>
        <v>0</v>
      </c>
      <c r="F28">
        <f t="shared" si="3"/>
        <v>0</v>
      </c>
      <c r="G28">
        <f t="shared" si="3"/>
        <v>0</v>
      </c>
      <c r="H28">
        <f t="shared" si="3"/>
        <v>0</v>
      </c>
      <c r="I28">
        <f t="shared" si="3"/>
        <v>0</v>
      </c>
      <c r="J28">
        <f t="shared" si="3"/>
        <v>0</v>
      </c>
      <c r="K28">
        <f t="shared" ref="K28:K49" si="4">K3</f>
        <v>0</v>
      </c>
      <c r="L28">
        <f t="shared" ref="L28:S28" si="5">IF(L3="+",$C$26,0)</f>
        <v>4.5</v>
      </c>
      <c r="M28">
        <f t="shared" si="5"/>
        <v>4.5</v>
      </c>
      <c r="N28">
        <f t="shared" si="5"/>
        <v>4.5</v>
      </c>
      <c r="O28">
        <f t="shared" si="5"/>
        <v>0</v>
      </c>
      <c r="P28">
        <f t="shared" si="5"/>
        <v>4.5</v>
      </c>
      <c r="Q28">
        <f t="shared" si="5"/>
        <v>4.5</v>
      </c>
      <c r="R28">
        <f t="shared" si="5"/>
        <v>4.5</v>
      </c>
      <c r="S28">
        <f t="shared" si="5"/>
        <v>4.5</v>
      </c>
      <c r="T28">
        <f t="shared" ref="T28:T49" si="6">T3</f>
        <v>9</v>
      </c>
      <c r="V28">
        <v>1</v>
      </c>
      <c r="W28">
        <f t="shared" ref="W28:W49" si="7">SUM(C28:T28)*V28+U28</f>
        <v>49.5</v>
      </c>
    </row>
    <row r="29" spans="1:23" x14ac:dyDescent="0.3">
      <c r="A29" s="3">
        <f t="shared" si="2"/>
        <v>3</v>
      </c>
      <c r="B29" s="3" t="str">
        <f t="shared" si="2"/>
        <v>Давыдов Степан Евгеньевич</v>
      </c>
      <c r="C29">
        <f t="shared" ref="C29:J29" si="8">IF(C4="+",$C$26,0)</f>
        <v>4.5</v>
      </c>
      <c r="D29">
        <f t="shared" si="8"/>
        <v>4.5</v>
      </c>
      <c r="E29">
        <f t="shared" si="8"/>
        <v>0</v>
      </c>
      <c r="F29">
        <f t="shared" si="8"/>
        <v>4.5</v>
      </c>
      <c r="G29">
        <f t="shared" si="8"/>
        <v>4.5</v>
      </c>
      <c r="H29">
        <f t="shared" si="8"/>
        <v>4.5</v>
      </c>
      <c r="I29">
        <f t="shared" si="8"/>
        <v>4.5</v>
      </c>
      <c r="J29">
        <f t="shared" si="8"/>
        <v>4.5</v>
      </c>
      <c r="K29">
        <f t="shared" si="4"/>
        <v>0</v>
      </c>
      <c r="L29">
        <f t="shared" ref="L29:S29" si="9">IF(L4="+",$C$26,0)</f>
        <v>4.5</v>
      </c>
      <c r="M29">
        <f t="shared" si="9"/>
        <v>4.5</v>
      </c>
      <c r="N29">
        <f t="shared" si="9"/>
        <v>4.5</v>
      </c>
      <c r="O29">
        <f t="shared" si="9"/>
        <v>4.5</v>
      </c>
      <c r="P29">
        <f t="shared" si="9"/>
        <v>0</v>
      </c>
      <c r="Q29">
        <f t="shared" si="9"/>
        <v>0</v>
      </c>
      <c r="R29">
        <f t="shared" si="9"/>
        <v>4.5</v>
      </c>
      <c r="S29">
        <f t="shared" si="9"/>
        <v>4.5</v>
      </c>
      <c r="T29">
        <f t="shared" si="6"/>
        <v>10</v>
      </c>
      <c r="V29">
        <v>1</v>
      </c>
      <c r="W29">
        <f t="shared" si="7"/>
        <v>68.5</v>
      </c>
    </row>
    <row r="30" spans="1:23" x14ac:dyDescent="0.3">
      <c r="A30" s="3">
        <f t="shared" si="2"/>
        <v>4</v>
      </c>
      <c r="B30" s="3" t="str">
        <f t="shared" si="2"/>
        <v>Дога Дмитрий Вадимович</v>
      </c>
      <c r="C30">
        <f t="shared" ref="C30:J30" si="10">IF(C5="+",$C$26,0)</f>
        <v>4.5</v>
      </c>
      <c r="D30">
        <f t="shared" si="10"/>
        <v>4.5</v>
      </c>
      <c r="E30">
        <f t="shared" si="10"/>
        <v>0</v>
      </c>
      <c r="F30">
        <f t="shared" si="10"/>
        <v>4.5</v>
      </c>
      <c r="G30">
        <f t="shared" si="10"/>
        <v>4.5</v>
      </c>
      <c r="H30">
        <f t="shared" si="10"/>
        <v>4.5</v>
      </c>
      <c r="I30">
        <f t="shared" si="10"/>
        <v>4.5</v>
      </c>
      <c r="J30">
        <f t="shared" si="10"/>
        <v>4.5</v>
      </c>
      <c r="K30">
        <f t="shared" si="4"/>
        <v>10</v>
      </c>
      <c r="L30">
        <f t="shared" ref="L30:S30" si="11">IF(L5="+",$C$26,0)</f>
        <v>4.5</v>
      </c>
      <c r="M30">
        <f t="shared" si="11"/>
        <v>4.5</v>
      </c>
      <c r="N30">
        <f t="shared" si="11"/>
        <v>4.5</v>
      </c>
      <c r="O30">
        <f t="shared" si="11"/>
        <v>4.5</v>
      </c>
      <c r="P30">
        <f t="shared" si="11"/>
        <v>4.5</v>
      </c>
      <c r="Q30">
        <f t="shared" si="11"/>
        <v>4.5</v>
      </c>
      <c r="R30">
        <f t="shared" si="11"/>
        <v>4.5</v>
      </c>
      <c r="S30">
        <f t="shared" si="11"/>
        <v>4.5</v>
      </c>
      <c r="T30">
        <f t="shared" si="6"/>
        <v>10</v>
      </c>
      <c r="V30">
        <v>1</v>
      </c>
      <c r="W30">
        <f t="shared" si="7"/>
        <v>87.5</v>
      </c>
    </row>
    <row r="31" spans="1:23" x14ac:dyDescent="0.3">
      <c r="A31" s="3">
        <f t="shared" si="2"/>
        <v>5</v>
      </c>
      <c r="B31" s="3" t="str">
        <f t="shared" si="2"/>
        <v>Желудков Александр Сергеевич</v>
      </c>
      <c r="C31">
        <f t="shared" ref="C31:J31" si="12">IF(C6="+",$C$26,0)</f>
        <v>4.5</v>
      </c>
      <c r="D31">
        <f t="shared" si="12"/>
        <v>0</v>
      </c>
      <c r="E31">
        <f t="shared" si="12"/>
        <v>4.5</v>
      </c>
      <c r="F31">
        <f t="shared" si="12"/>
        <v>0</v>
      </c>
      <c r="G31">
        <f t="shared" si="12"/>
        <v>0</v>
      </c>
      <c r="H31">
        <f t="shared" si="12"/>
        <v>4.5</v>
      </c>
      <c r="I31">
        <f t="shared" si="12"/>
        <v>0</v>
      </c>
      <c r="J31">
        <f t="shared" si="12"/>
        <v>4.5</v>
      </c>
      <c r="K31">
        <f t="shared" si="4"/>
        <v>0</v>
      </c>
      <c r="L31">
        <f t="shared" ref="L31:S31" si="13">IF(L6="+",$C$26,0)</f>
        <v>0</v>
      </c>
      <c r="M31">
        <f t="shared" si="13"/>
        <v>0</v>
      </c>
      <c r="N31">
        <f t="shared" si="13"/>
        <v>4.5</v>
      </c>
      <c r="O31">
        <f t="shared" si="13"/>
        <v>0</v>
      </c>
      <c r="P31">
        <f t="shared" si="13"/>
        <v>0</v>
      </c>
      <c r="Q31">
        <f t="shared" si="13"/>
        <v>4.5</v>
      </c>
      <c r="R31">
        <f t="shared" si="13"/>
        <v>4.5</v>
      </c>
      <c r="S31">
        <f t="shared" si="13"/>
        <v>0</v>
      </c>
      <c r="T31">
        <f t="shared" si="6"/>
        <v>0</v>
      </c>
      <c r="V31">
        <v>1</v>
      </c>
      <c r="W31">
        <f t="shared" si="7"/>
        <v>31.5</v>
      </c>
    </row>
    <row r="32" spans="1:23" x14ac:dyDescent="0.3">
      <c r="A32" s="3">
        <f t="shared" si="2"/>
        <v>6</v>
      </c>
      <c r="B32" s="3" t="str">
        <f t="shared" si="2"/>
        <v>Колесова Милена Иннокентьевна</v>
      </c>
      <c r="C32">
        <f t="shared" ref="C32:J32" si="14">IF(C7="+",$C$26,0)</f>
        <v>4.5</v>
      </c>
      <c r="D32">
        <f t="shared" si="14"/>
        <v>4.5</v>
      </c>
      <c r="E32">
        <f t="shared" si="14"/>
        <v>0</v>
      </c>
      <c r="F32">
        <f t="shared" si="14"/>
        <v>4.5</v>
      </c>
      <c r="G32">
        <f t="shared" si="14"/>
        <v>4.5</v>
      </c>
      <c r="H32">
        <f t="shared" si="14"/>
        <v>4.5</v>
      </c>
      <c r="I32">
        <f t="shared" si="14"/>
        <v>0</v>
      </c>
      <c r="J32">
        <f t="shared" si="14"/>
        <v>0</v>
      </c>
      <c r="K32">
        <f t="shared" si="4"/>
        <v>0</v>
      </c>
      <c r="L32">
        <f t="shared" ref="L32:S32" si="15">IF(L7="+",$C$26,0)</f>
        <v>4.5</v>
      </c>
      <c r="M32">
        <f t="shared" si="15"/>
        <v>0</v>
      </c>
      <c r="N32">
        <f t="shared" si="15"/>
        <v>4.5</v>
      </c>
      <c r="O32">
        <f t="shared" si="15"/>
        <v>0</v>
      </c>
      <c r="P32">
        <f t="shared" si="15"/>
        <v>4.5</v>
      </c>
      <c r="Q32">
        <f t="shared" si="15"/>
        <v>0</v>
      </c>
      <c r="R32">
        <f t="shared" si="15"/>
        <v>4.5</v>
      </c>
      <c r="S32">
        <f t="shared" si="15"/>
        <v>4.5</v>
      </c>
      <c r="T32">
        <f t="shared" si="6"/>
        <v>10</v>
      </c>
      <c r="V32">
        <v>1</v>
      </c>
      <c r="W32">
        <f t="shared" si="7"/>
        <v>55</v>
      </c>
    </row>
    <row r="33" spans="1:23" x14ac:dyDescent="0.3">
      <c r="A33" s="3">
        <f t="shared" si="2"/>
        <v>7</v>
      </c>
      <c r="B33" s="3" t="str">
        <f t="shared" si="2"/>
        <v>Крупиков Пётр Анатольевич</v>
      </c>
      <c r="C33">
        <f t="shared" ref="C33:J33" si="16">IF(C8="+",$C$26,0)</f>
        <v>4.5</v>
      </c>
      <c r="D33">
        <f t="shared" si="16"/>
        <v>4.5</v>
      </c>
      <c r="E33">
        <f t="shared" si="16"/>
        <v>4.5</v>
      </c>
      <c r="F33">
        <f t="shared" si="16"/>
        <v>4.5</v>
      </c>
      <c r="G33">
        <f t="shared" si="16"/>
        <v>0</v>
      </c>
      <c r="H33">
        <f t="shared" si="16"/>
        <v>0</v>
      </c>
      <c r="I33">
        <f t="shared" si="16"/>
        <v>0</v>
      </c>
      <c r="J33">
        <f t="shared" si="16"/>
        <v>0</v>
      </c>
      <c r="K33">
        <f t="shared" si="4"/>
        <v>0</v>
      </c>
      <c r="L33">
        <f t="shared" ref="L33:S33" si="17">IF(L8="+",$C$26,0)</f>
        <v>0</v>
      </c>
      <c r="M33">
        <f t="shared" si="17"/>
        <v>4.5</v>
      </c>
      <c r="N33">
        <f t="shared" si="17"/>
        <v>4.5</v>
      </c>
      <c r="O33">
        <f t="shared" si="17"/>
        <v>0</v>
      </c>
      <c r="P33">
        <f t="shared" si="17"/>
        <v>0</v>
      </c>
      <c r="Q33">
        <f t="shared" si="17"/>
        <v>0</v>
      </c>
      <c r="R33">
        <f t="shared" si="17"/>
        <v>0</v>
      </c>
      <c r="S33">
        <f t="shared" si="17"/>
        <v>0</v>
      </c>
      <c r="T33">
        <f t="shared" si="6"/>
        <v>0</v>
      </c>
      <c r="V33">
        <v>1</v>
      </c>
      <c r="W33">
        <f t="shared" si="7"/>
        <v>27</v>
      </c>
    </row>
    <row r="34" spans="1:23" x14ac:dyDescent="0.3">
      <c r="A34" s="3">
        <f t="shared" si="2"/>
        <v>8</v>
      </c>
      <c r="B34" s="3" t="str">
        <f t="shared" si="2"/>
        <v>Курицына Дарья Алексеевна</v>
      </c>
      <c r="C34">
        <f t="shared" ref="C34:J34" si="18">IF(C9="+",$C$26,0)</f>
        <v>4.5</v>
      </c>
      <c r="D34">
        <f t="shared" si="18"/>
        <v>4.5</v>
      </c>
      <c r="E34">
        <f t="shared" si="18"/>
        <v>0</v>
      </c>
      <c r="F34">
        <f t="shared" si="18"/>
        <v>4.5</v>
      </c>
      <c r="G34">
        <f t="shared" si="18"/>
        <v>4.5</v>
      </c>
      <c r="H34">
        <f t="shared" si="18"/>
        <v>4.5</v>
      </c>
      <c r="I34">
        <f t="shared" si="18"/>
        <v>4.5</v>
      </c>
      <c r="J34">
        <f t="shared" si="18"/>
        <v>4.5</v>
      </c>
      <c r="K34">
        <f t="shared" si="4"/>
        <v>0</v>
      </c>
      <c r="L34">
        <f t="shared" ref="L34:S34" si="19">IF(L9="+",$C$26,0)</f>
        <v>4.5</v>
      </c>
      <c r="M34">
        <f t="shared" si="19"/>
        <v>4.5</v>
      </c>
      <c r="N34">
        <f t="shared" si="19"/>
        <v>4.5</v>
      </c>
      <c r="O34">
        <f t="shared" si="19"/>
        <v>4.5</v>
      </c>
      <c r="P34">
        <f t="shared" si="19"/>
        <v>4.5</v>
      </c>
      <c r="Q34">
        <f t="shared" si="19"/>
        <v>0</v>
      </c>
      <c r="R34">
        <f t="shared" si="19"/>
        <v>4.5</v>
      </c>
      <c r="S34">
        <f t="shared" si="19"/>
        <v>0</v>
      </c>
      <c r="T34">
        <f t="shared" si="6"/>
        <v>10</v>
      </c>
      <c r="V34">
        <v>1</v>
      </c>
      <c r="W34">
        <f t="shared" si="7"/>
        <v>68.5</v>
      </c>
    </row>
    <row r="35" spans="1:23" x14ac:dyDescent="0.3">
      <c r="A35" s="3">
        <f t="shared" si="2"/>
        <v>9</v>
      </c>
      <c r="B35" s="3" t="str">
        <f t="shared" si="2"/>
        <v>Ли Алина Александровна</v>
      </c>
      <c r="C35">
        <f t="shared" ref="C35:J35" si="20">IF(C10="+",$C$26,0)</f>
        <v>4.5</v>
      </c>
      <c r="D35">
        <f t="shared" si="20"/>
        <v>4.5</v>
      </c>
      <c r="E35">
        <f t="shared" si="20"/>
        <v>0</v>
      </c>
      <c r="F35">
        <f t="shared" si="20"/>
        <v>4.5</v>
      </c>
      <c r="G35">
        <f t="shared" si="20"/>
        <v>4.5</v>
      </c>
      <c r="H35">
        <f t="shared" si="20"/>
        <v>0</v>
      </c>
      <c r="I35">
        <f t="shared" si="20"/>
        <v>4.5</v>
      </c>
      <c r="J35">
        <f t="shared" si="20"/>
        <v>4.5</v>
      </c>
      <c r="K35">
        <f t="shared" si="4"/>
        <v>10</v>
      </c>
      <c r="L35">
        <f t="shared" ref="L35:S35" si="21">IF(L10="+",$C$26,0)</f>
        <v>4.5</v>
      </c>
      <c r="M35">
        <f t="shared" si="21"/>
        <v>4.5</v>
      </c>
      <c r="N35">
        <f t="shared" si="21"/>
        <v>4.5</v>
      </c>
      <c r="O35">
        <f t="shared" si="21"/>
        <v>4.5</v>
      </c>
      <c r="P35">
        <f t="shared" si="21"/>
        <v>0</v>
      </c>
      <c r="Q35">
        <f t="shared" si="21"/>
        <v>4.5</v>
      </c>
      <c r="R35">
        <f t="shared" si="21"/>
        <v>4.5</v>
      </c>
      <c r="S35">
        <f t="shared" si="21"/>
        <v>4.5</v>
      </c>
      <c r="T35">
        <f t="shared" si="6"/>
        <v>7</v>
      </c>
      <c r="V35">
        <v>0.9</v>
      </c>
      <c r="W35">
        <f t="shared" si="7"/>
        <v>67.95</v>
      </c>
    </row>
    <row r="36" spans="1:23" x14ac:dyDescent="0.3">
      <c r="A36" s="3">
        <f t="shared" si="2"/>
        <v>10</v>
      </c>
      <c r="B36" s="3" t="str">
        <f t="shared" si="2"/>
        <v>Милованова Ольга Владимировна</v>
      </c>
      <c r="C36">
        <f t="shared" ref="C36:J36" si="22">IF(C11="+",$C$26,0)</f>
        <v>4.5</v>
      </c>
      <c r="D36">
        <f t="shared" si="22"/>
        <v>0</v>
      </c>
      <c r="E36">
        <f t="shared" si="22"/>
        <v>0</v>
      </c>
      <c r="F36">
        <f t="shared" si="22"/>
        <v>4.5</v>
      </c>
      <c r="G36">
        <f t="shared" si="22"/>
        <v>0</v>
      </c>
      <c r="H36">
        <f t="shared" si="22"/>
        <v>0</v>
      </c>
      <c r="I36">
        <f t="shared" si="22"/>
        <v>4.5</v>
      </c>
      <c r="J36">
        <f t="shared" si="22"/>
        <v>4.5</v>
      </c>
      <c r="K36">
        <f t="shared" si="4"/>
        <v>0</v>
      </c>
      <c r="L36">
        <f t="shared" ref="L36:S36" si="23">IF(L11="+",$C$26,0)</f>
        <v>4.5</v>
      </c>
      <c r="M36">
        <f t="shared" si="23"/>
        <v>4.5</v>
      </c>
      <c r="N36">
        <f t="shared" si="23"/>
        <v>0</v>
      </c>
      <c r="O36">
        <f t="shared" si="23"/>
        <v>4.5</v>
      </c>
      <c r="P36">
        <f t="shared" si="23"/>
        <v>0</v>
      </c>
      <c r="Q36">
        <f t="shared" si="23"/>
        <v>4.5</v>
      </c>
      <c r="R36">
        <f t="shared" si="23"/>
        <v>0</v>
      </c>
      <c r="S36">
        <f t="shared" si="23"/>
        <v>0</v>
      </c>
      <c r="T36">
        <f t="shared" si="6"/>
        <v>0</v>
      </c>
      <c r="V36">
        <v>1</v>
      </c>
      <c r="W36">
        <f t="shared" si="7"/>
        <v>36</v>
      </c>
    </row>
    <row r="37" spans="1:23" x14ac:dyDescent="0.3">
      <c r="A37" s="3">
        <f t="shared" si="2"/>
        <v>11</v>
      </c>
      <c r="B37" s="3" t="str">
        <f t="shared" si="2"/>
        <v>Нгуен Тхань Хоа -</v>
      </c>
      <c r="C37">
        <f t="shared" ref="C37:J37" si="24">IF(C12="+",$C$26,0)</f>
        <v>4.5</v>
      </c>
      <c r="D37">
        <f t="shared" si="24"/>
        <v>4.5</v>
      </c>
      <c r="E37">
        <f t="shared" si="24"/>
        <v>0</v>
      </c>
      <c r="F37">
        <f t="shared" si="24"/>
        <v>4.5</v>
      </c>
      <c r="G37">
        <f t="shared" si="24"/>
        <v>4.5</v>
      </c>
      <c r="H37">
        <f t="shared" si="24"/>
        <v>4.5</v>
      </c>
      <c r="I37">
        <f t="shared" si="24"/>
        <v>0</v>
      </c>
      <c r="J37">
        <f t="shared" si="24"/>
        <v>4.5</v>
      </c>
      <c r="K37">
        <f t="shared" si="4"/>
        <v>5</v>
      </c>
      <c r="L37">
        <f t="shared" ref="L37:S37" si="25">IF(L12="+",$C$26,0)</f>
        <v>0</v>
      </c>
      <c r="M37">
        <f t="shared" si="25"/>
        <v>4.5</v>
      </c>
      <c r="N37">
        <f t="shared" si="25"/>
        <v>4.5</v>
      </c>
      <c r="O37">
        <f t="shared" si="25"/>
        <v>4.5</v>
      </c>
      <c r="P37">
        <f t="shared" si="25"/>
        <v>0</v>
      </c>
      <c r="Q37">
        <f t="shared" si="25"/>
        <v>4.5</v>
      </c>
      <c r="R37">
        <f t="shared" si="25"/>
        <v>4.5</v>
      </c>
      <c r="S37">
        <f t="shared" si="25"/>
        <v>4.5</v>
      </c>
      <c r="T37">
        <f t="shared" si="6"/>
        <v>5</v>
      </c>
      <c r="V37">
        <v>1</v>
      </c>
      <c r="W37">
        <f t="shared" si="7"/>
        <v>64</v>
      </c>
    </row>
    <row r="38" spans="1:23" x14ac:dyDescent="0.3">
      <c r="A38" s="3">
        <f t="shared" si="2"/>
        <v>12</v>
      </c>
      <c r="B38" s="3" t="str">
        <f t="shared" si="2"/>
        <v>Петрукович Арсений Сергеевич</v>
      </c>
      <c r="C38">
        <f t="shared" ref="C38:J38" si="26">IF(C13="+",$C$26,0)</f>
        <v>4.5</v>
      </c>
      <c r="D38">
        <f t="shared" si="26"/>
        <v>4.5</v>
      </c>
      <c r="E38">
        <f t="shared" si="26"/>
        <v>4.5</v>
      </c>
      <c r="F38">
        <f t="shared" si="26"/>
        <v>4.5</v>
      </c>
      <c r="G38">
        <f t="shared" si="26"/>
        <v>4.5</v>
      </c>
      <c r="H38">
        <f t="shared" si="26"/>
        <v>0</v>
      </c>
      <c r="I38">
        <f t="shared" si="26"/>
        <v>4.5</v>
      </c>
      <c r="J38">
        <f t="shared" si="26"/>
        <v>0</v>
      </c>
      <c r="K38">
        <f t="shared" si="4"/>
        <v>0</v>
      </c>
      <c r="L38">
        <f t="shared" ref="L38:S38" si="27">IF(L13="+",$C$26,0)</f>
        <v>0</v>
      </c>
      <c r="M38">
        <f t="shared" si="27"/>
        <v>0</v>
      </c>
      <c r="N38">
        <f t="shared" si="27"/>
        <v>4.5</v>
      </c>
      <c r="O38">
        <f t="shared" si="27"/>
        <v>0</v>
      </c>
      <c r="P38">
        <f t="shared" si="27"/>
        <v>0</v>
      </c>
      <c r="Q38">
        <f t="shared" si="27"/>
        <v>0</v>
      </c>
      <c r="R38">
        <f t="shared" si="27"/>
        <v>0</v>
      </c>
      <c r="S38">
        <f t="shared" si="27"/>
        <v>4.5</v>
      </c>
      <c r="T38">
        <f t="shared" si="6"/>
        <v>0</v>
      </c>
      <c r="V38">
        <v>1</v>
      </c>
      <c r="W38">
        <f t="shared" si="7"/>
        <v>36</v>
      </c>
    </row>
    <row r="39" spans="1:23" x14ac:dyDescent="0.3">
      <c r="A39" s="3">
        <f t="shared" si="2"/>
        <v>13</v>
      </c>
      <c r="B39" s="3" t="str">
        <f t="shared" si="2"/>
        <v>Платонова Александра Борисовна</v>
      </c>
      <c r="C39">
        <f t="shared" ref="C39:J39" si="28">IF(C14="+",$C$26,0)</f>
        <v>4.5</v>
      </c>
      <c r="D39">
        <f t="shared" si="28"/>
        <v>4.5</v>
      </c>
      <c r="E39">
        <f t="shared" si="28"/>
        <v>4.5</v>
      </c>
      <c r="F39">
        <f t="shared" si="28"/>
        <v>4.5</v>
      </c>
      <c r="G39">
        <f t="shared" si="28"/>
        <v>4.5</v>
      </c>
      <c r="H39">
        <f t="shared" si="28"/>
        <v>4.5</v>
      </c>
      <c r="I39">
        <f t="shared" si="28"/>
        <v>0</v>
      </c>
      <c r="J39">
        <f t="shared" si="28"/>
        <v>0</v>
      </c>
      <c r="K39">
        <f t="shared" si="4"/>
        <v>0</v>
      </c>
      <c r="L39">
        <f t="shared" ref="L39:S39" si="29">IF(L14="+",$C$26,0)</f>
        <v>4.5</v>
      </c>
      <c r="M39">
        <f t="shared" si="29"/>
        <v>4.5</v>
      </c>
      <c r="N39">
        <f t="shared" si="29"/>
        <v>0</v>
      </c>
      <c r="O39">
        <f t="shared" si="29"/>
        <v>4.5</v>
      </c>
      <c r="P39">
        <f t="shared" si="29"/>
        <v>4.5</v>
      </c>
      <c r="Q39">
        <f t="shared" si="29"/>
        <v>4.5</v>
      </c>
      <c r="R39">
        <f t="shared" si="29"/>
        <v>4.5</v>
      </c>
      <c r="S39">
        <f t="shared" si="29"/>
        <v>4.5</v>
      </c>
      <c r="T39">
        <f t="shared" si="6"/>
        <v>10</v>
      </c>
      <c r="V39">
        <v>1</v>
      </c>
      <c r="W39">
        <f t="shared" si="7"/>
        <v>68.5</v>
      </c>
    </row>
    <row r="40" spans="1:23" x14ac:dyDescent="0.3">
      <c r="A40" s="3">
        <f t="shared" si="2"/>
        <v>14</v>
      </c>
      <c r="B40" s="3" t="str">
        <f t="shared" si="2"/>
        <v>Потапов Денис Витальевич</v>
      </c>
      <c r="C40">
        <f t="shared" ref="C40:J40" si="30">IF(C15="+",$C$26,0)</f>
        <v>0</v>
      </c>
      <c r="D40">
        <f t="shared" si="30"/>
        <v>0</v>
      </c>
      <c r="E40">
        <f t="shared" si="30"/>
        <v>0</v>
      </c>
      <c r="F40">
        <f t="shared" si="30"/>
        <v>0</v>
      </c>
      <c r="G40">
        <f t="shared" si="30"/>
        <v>0</v>
      </c>
      <c r="H40">
        <f t="shared" si="30"/>
        <v>0</v>
      </c>
      <c r="I40">
        <f t="shared" si="30"/>
        <v>0</v>
      </c>
      <c r="J40">
        <f t="shared" si="30"/>
        <v>0</v>
      </c>
      <c r="K40">
        <f t="shared" si="4"/>
        <v>0</v>
      </c>
      <c r="L40">
        <f t="shared" ref="L40:S40" si="31">IF(L15="+",$C$26,0)</f>
        <v>0</v>
      </c>
      <c r="M40">
        <f t="shared" si="31"/>
        <v>0</v>
      </c>
      <c r="N40">
        <f t="shared" si="31"/>
        <v>0</v>
      </c>
      <c r="O40">
        <f t="shared" si="31"/>
        <v>0</v>
      </c>
      <c r="P40">
        <f t="shared" si="31"/>
        <v>0</v>
      </c>
      <c r="Q40">
        <f t="shared" si="31"/>
        <v>0</v>
      </c>
      <c r="R40">
        <f t="shared" si="31"/>
        <v>0</v>
      </c>
      <c r="S40">
        <f t="shared" si="31"/>
        <v>0</v>
      </c>
      <c r="T40">
        <f t="shared" si="6"/>
        <v>0</v>
      </c>
      <c r="V40">
        <v>1</v>
      </c>
      <c r="W40">
        <f t="shared" si="7"/>
        <v>0</v>
      </c>
    </row>
    <row r="41" spans="1:23" x14ac:dyDescent="0.3">
      <c r="A41" s="3">
        <f t="shared" si="2"/>
        <v>15</v>
      </c>
      <c r="B41" s="3" t="str">
        <f t="shared" si="2"/>
        <v>Саматов Темиржан -</v>
      </c>
      <c r="C41">
        <f t="shared" ref="C41:J41" si="32">IF(C16="+",$C$26,0)</f>
        <v>0</v>
      </c>
      <c r="D41">
        <f t="shared" si="32"/>
        <v>0</v>
      </c>
      <c r="E41">
        <f t="shared" si="32"/>
        <v>0</v>
      </c>
      <c r="F41">
        <f t="shared" si="32"/>
        <v>0</v>
      </c>
      <c r="G41">
        <f t="shared" si="32"/>
        <v>0</v>
      </c>
      <c r="H41">
        <f t="shared" si="32"/>
        <v>0</v>
      </c>
      <c r="I41">
        <f t="shared" si="32"/>
        <v>0</v>
      </c>
      <c r="J41">
        <f t="shared" si="32"/>
        <v>0</v>
      </c>
      <c r="K41">
        <f t="shared" si="4"/>
        <v>0</v>
      </c>
      <c r="L41">
        <f t="shared" ref="L41:S41" si="33">IF(L16="+",$C$26,0)</f>
        <v>0</v>
      </c>
      <c r="M41">
        <f t="shared" si="33"/>
        <v>0</v>
      </c>
      <c r="N41">
        <f t="shared" si="33"/>
        <v>0</v>
      </c>
      <c r="O41">
        <f t="shared" si="33"/>
        <v>0</v>
      </c>
      <c r="P41">
        <f t="shared" si="33"/>
        <v>0</v>
      </c>
      <c r="Q41">
        <f t="shared" si="33"/>
        <v>0</v>
      </c>
      <c r="R41">
        <f t="shared" si="33"/>
        <v>0</v>
      </c>
      <c r="S41">
        <f t="shared" si="33"/>
        <v>0</v>
      </c>
      <c r="T41">
        <f t="shared" si="6"/>
        <v>0</v>
      </c>
      <c r="V41">
        <v>1</v>
      </c>
      <c r="W41">
        <f t="shared" si="7"/>
        <v>0</v>
      </c>
    </row>
    <row r="42" spans="1:23" x14ac:dyDescent="0.3">
      <c r="A42" s="3">
        <f t="shared" si="2"/>
        <v>16</v>
      </c>
      <c r="B42" s="3" t="str">
        <f t="shared" si="2"/>
        <v>Стребков Евгений Александрович</v>
      </c>
      <c r="C42">
        <f t="shared" ref="C42:J42" si="34">IF(C17="+",$C$26,0)</f>
        <v>4.5</v>
      </c>
      <c r="D42">
        <f t="shared" si="34"/>
        <v>4.5</v>
      </c>
      <c r="E42">
        <f t="shared" si="34"/>
        <v>0</v>
      </c>
      <c r="F42">
        <f t="shared" si="34"/>
        <v>4.5</v>
      </c>
      <c r="G42">
        <f t="shared" si="34"/>
        <v>4.5</v>
      </c>
      <c r="H42">
        <f t="shared" si="34"/>
        <v>4.5</v>
      </c>
      <c r="I42">
        <f t="shared" si="34"/>
        <v>4.5</v>
      </c>
      <c r="J42">
        <f t="shared" si="34"/>
        <v>4.5</v>
      </c>
      <c r="K42">
        <f t="shared" si="4"/>
        <v>0</v>
      </c>
      <c r="L42">
        <f t="shared" ref="L42:S42" si="35">IF(L17="+",$C$26,0)</f>
        <v>4.5</v>
      </c>
      <c r="M42">
        <f t="shared" si="35"/>
        <v>4.5</v>
      </c>
      <c r="N42">
        <f t="shared" si="35"/>
        <v>4.5</v>
      </c>
      <c r="O42">
        <f t="shared" si="35"/>
        <v>4.5</v>
      </c>
      <c r="P42">
        <f t="shared" si="35"/>
        <v>4.5</v>
      </c>
      <c r="Q42">
        <f t="shared" si="35"/>
        <v>4.5</v>
      </c>
      <c r="R42">
        <f t="shared" si="35"/>
        <v>4.5</v>
      </c>
      <c r="S42">
        <f t="shared" si="35"/>
        <v>4.5</v>
      </c>
      <c r="T42">
        <f t="shared" si="6"/>
        <v>10</v>
      </c>
      <c r="V42">
        <v>0.9</v>
      </c>
      <c r="W42">
        <f t="shared" si="7"/>
        <v>69.75</v>
      </c>
    </row>
    <row r="43" spans="1:23" x14ac:dyDescent="0.3">
      <c r="A43" s="3">
        <f t="shared" si="2"/>
        <v>17</v>
      </c>
      <c r="B43" s="3" t="str">
        <f t="shared" si="2"/>
        <v>Тарандо Александр Станиславович</v>
      </c>
      <c r="C43">
        <f t="shared" ref="C43:J43" si="36">IF(C18="+",$C$26,0)</f>
        <v>0</v>
      </c>
      <c r="D43">
        <f t="shared" si="36"/>
        <v>0</v>
      </c>
      <c r="E43">
        <f t="shared" si="36"/>
        <v>0</v>
      </c>
      <c r="F43">
        <f t="shared" si="36"/>
        <v>0</v>
      </c>
      <c r="G43">
        <f t="shared" si="36"/>
        <v>0</v>
      </c>
      <c r="H43">
        <f t="shared" si="36"/>
        <v>0</v>
      </c>
      <c r="I43">
        <f t="shared" si="36"/>
        <v>0</v>
      </c>
      <c r="J43">
        <f t="shared" si="36"/>
        <v>0</v>
      </c>
      <c r="K43">
        <f t="shared" si="4"/>
        <v>0</v>
      </c>
      <c r="L43">
        <f t="shared" ref="L43:S43" si="37">IF(L18="+",$C$26,0)</f>
        <v>0</v>
      </c>
      <c r="M43">
        <f t="shared" si="37"/>
        <v>0</v>
      </c>
      <c r="N43">
        <f t="shared" si="37"/>
        <v>0</v>
      </c>
      <c r="O43">
        <f t="shared" si="37"/>
        <v>0</v>
      </c>
      <c r="P43">
        <f t="shared" si="37"/>
        <v>0</v>
      </c>
      <c r="Q43">
        <f t="shared" si="37"/>
        <v>0</v>
      </c>
      <c r="R43">
        <f t="shared" si="37"/>
        <v>0</v>
      </c>
      <c r="S43">
        <f t="shared" si="37"/>
        <v>0</v>
      </c>
      <c r="T43">
        <f t="shared" si="6"/>
        <v>0</v>
      </c>
      <c r="V43">
        <v>1</v>
      </c>
      <c r="W43">
        <f t="shared" si="7"/>
        <v>0</v>
      </c>
    </row>
    <row r="44" spans="1:23" x14ac:dyDescent="0.3">
      <c r="A44" s="3">
        <f t="shared" si="2"/>
        <v>18</v>
      </c>
      <c r="B44" s="3" t="str">
        <f t="shared" si="2"/>
        <v>Файзуллина Алина Маратовна</v>
      </c>
      <c r="C44">
        <f t="shared" ref="C44:J44" si="38">IF(C19="+",$C$26,0)</f>
        <v>4.5</v>
      </c>
      <c r="D44">
        <f t="shared" si="38"/>
        <v>4.5</v>
      </c>
      <c r="E44">
        <f t="shared" si="38"/>
        <v>0</v>
      </c>
      <c r="F44">
        <f t="shared" si="38"/>
        <v>0</v>
      </c>
      <c r="G44">
        <f t="shared" si="38"/>
        <v>0</v>
      </c>
      <c r="H44">
        <f t="shared" si="38"/>
        <v>0</v>
      </c>
      <c r="I44">
        <f t="shared" si="38"/>
        <v>0</v>
      </c>
      <c r="J44">
        <f t="shared" si="38"/>
        <v>0</v>
      </c>
      <c r="K44">
        <f t="shared" si="4"/>
        <v>0</v>
      </c>
      <c r="L44">
        <f t="shared" ref="L44:S44" si="39">IF(L19="+",$C$26,0)</f>
        <v>0</v>
      </c>
      <c r="M44">
        <f t="shared" si="39"/>
        <v>0</v>
      </c>
      <c r="N44">
        <f t="shared" si="39"/>
        <v>0</v>
      </c>
      <c r="O44">
        <f t="shared" si="39"/>
        <v>0</v>
      </c>
      <c r="P44">
        <f t="shared" si="39"/>
        <v>0</v>
      </c>
      <c r="Q44">
        <f t="shared" si="39"/>
        <v>0</v>
      </c>
      <c r="R44">
        <f t="shared" si="39"/>
        <v>0</v>
      </c>
      <c r="S44">
        <f t="shared" si="39"/>
        <v>0</v>
      </c>
      <c r="T44">
        <f t="shared" si="6"/>
        <v>0</v>
      </c>
      <c r="V44">
        <v>1</v>
      </c>
      <c r="W44">
        <f t="shared" si="7"/>
        <v>9</v>
      </c>
    </row>
    <row r="45" spans="1:23" x14ac:dyDescent="0.3">
      <c r="A45" s="3">
        <f t="shared" si="2"/>
        <v>19</v>
      </c>
      <c r="B45" s="3" t="str">
        <f t="shared" si="2"/>
        <v>Федина Александра Евгеньевна</v>
      </c>
      <c r="C45">
        <f t="shared" ref="C45:J45" si="40">IF(C20="+",$C$26,0)</f>
        <v>0</v>
      </c>
      <c r="D45">
        <f t="shared" si="40"/>
        <v>0</v>
      </c>
      <c r="E45">
        <f t="shared" si="40"/>
        <v>0</v>
      </c>
      <c r="F45">
        <f t="shared" si="40"/>
        <v>0</v>
      </c>
      <c r="G45">
        <f t="shared" si="40"/>
        <v>0</v>
      </c>
      <c r="H45">
        <f t="shared" si="40"/>
        <v>0</v>
      </c>
      <c r="I45">
        <f t="shared" si="40"/>
        <v>0</v>
      </c>
      <c r="J45">
        <f t="shared" si="40"/>
        <v>0</v>
      </c>
      <c r="K45">
        <f t="shared" si="4"/>
        <v>0</v>
      </c>
      <c r="L45">
        <f t="shared" ref="L45:S45" si="41">IF(L20="+",$C$26,0)</f>
        <v>0</v>
      </c>
      <c r="M45">
        <f t="shared" si="41"/>
        <v>0</v>
      </c>
      <c r="N45">
        <f t="shared" si="41"/>
        <v>0</v>
      </c>
      <c r="O45">
        <f t="shared" si="41"/>
        <v>0</v>
      </c>
      <c r="P45">
        <f t="shared" si="41"/>
        <v>0</v>
      </c>
      <c r="Q45">
        <f t="shared" si="41"/>
        <v>0</v>
      </c>
      <c r="R45">
        <f t="shared" si="41"/>
        <v>0</v>
      </c>
      <c r="S45">
        <f t="shared" si="41"/>
        <v>0</v>
      </c>
      <c r="T45">
        <f t="shared" si="6"/>
        <v>0</v>
      </c>
      <c r="V45">
        <v>1</v>
      </c>
      <c r="W45">
        <f t="shared" si="7"/>
        <v>0</v>
      </c>
    </row>
    <row r="46" spans="1:23" x14ac:dyDescent="0.3">
      <c r="A46" s="3">
        <f t="shared" si="2"/>
        <v>20</v>
      </c>
      <c r="B46" s="3" t="str">
        <f t="shared" si="2"/>
        <v>Филимонов Михаил Андреевич</v>
      </c>
      <c r="C46">
        <f t="shared" ref="C46:J46" si="42">IF(C21="+",$C$26,0)</f>
        <v>4.5</v>
      </c>
      <c r="D46">
        <f t="shared" si="42"/>
        <v>4.5</v>
      </c>
      <c r="E46">
        <f t="shared" si="42"/>
        <v>4.5</v>
      </c>
      <c r="F46">
        <f t="shared" si="42"/>
        <v>4.5</v>
      </c>
      <c r="G46">
        <f t="shared" si="42"/>
        <v>4.5</v>
      </c>
      <c r="H46">
        <f t="shared" si="42"/>
        <v>4.5</v>
      </c>
      <c r="I46">
        <f t="shared" si="42"/>
        <v>4.5</v>
      </c>
      <c r="J46">
        <f t="shared" si="42"/>
        <v>4.5</v>
      </c>
      <c r="K46">
        <f t="shared" si="4"/>
        <v>0</v>
      </c>
      <c r="L46">
        <f t="shared" ref="L46:S46" si="43">IF(L21="+",$C$26,0)</f>
        <v>4.5</v>
      </c>
      <c r="M46">
        <f t="shared" si="43"/>
        <v>4.5</v>
      </c>
      <c r="N46">
        <f t="shared" si="43"/>
        <v>4.5</v>
      </c>
      <c r="O46">
        <f t="shared" si="43"/>
        <v>4.5</v>
      </c>
      <c r="P46">
        <f t="shared" si="43"/>
        <v>4.5</v>
      </c>
      <c r="Q46">
        <f t="shared" si="43"/>
        <v>4.5</v>
      </c>
      <c r="R46">
        <f t="shared" si="43"/>
        <v>4.5</v>
      </c>
      <c r="S46">
        <f t="shared" si="43"/>
        <v>4.5</v>
      </c>
      <c r="T46">
        <f t="shared" si="6"/>
        <v>10</v>
      </c>
      <c r="V46">
        <v>0.83</v>
      </c>
      <c r="W46">
        <f t="shared" si="7"/>
        <v>68.06</v>
      </c>
    </row>
    <row r="47" spans="1:23" x14ac:dyDescent="0.3">
      <c r="A47" s="3">
        <f>A22</f>
        <v>21</v>
      </c>
      <c r="B47" s="3" t="str">
        <f t="shared" ref="B47:B49" si="44">B22</f>
        <v>Шамшура Мария Алексеевна</v>
      </c>
      <c r="C47">
        <f t="shared" ref="C47:J47" si="45">IF(C22="+",$C$26,0)</f>
        <v>0</v>
      </c>
      <c r="D47">
        <f t="shared" si="45"/>
        <v>0</v>
      </c>
      <c r="E47">
        <f t="shared" si="45"/>
        <v>0</v>
      </c>
      <c r="F47">
        <f t="shared" si="45"/>
        <v>0</v>
      </c>
      <c r="G47">
        <f t="shared" si="45"/>
        <v>0</v>
      </c>
      <c r="H47">
        <f t="shared" si="45"/>
        <v>0</v>
      </c>
      <c r="I47">
        <f t="shared" si="45"/>
        <v>0</v>
      </c>
      <c r="J47">
        <f t="shared" si="45"/>
        <v>0</v>
      </c>
      <c r="K47">
        <f t="shared" si="4"/>
        <v>0</v>
      </c>
      <c r="L47">
        <f t="shared" ref="L47:S47" si="46">IF(L22="+",$C$26,0)</f>
        <v>0</v>
      </c>
      <c r="M47">
        <f t="shared" si="46"/>
        <v>0</v>
      </c>
      <c r="N47">
        <f t="shared" si="46"/>
        <v>0</v>
      </c>
      <c r="O47">
        <f t="shared" si="46"/>
        <v>0</v>
      </c>
      <c r="P47">
        <f t="shared" si="46"/>
        <v>0</v>
      </c>
      <c r="Q47">
        <f t="shared" si="46"/>
        <v>0</v>
      </c>
      <c r="R47">
        <f t="shared" si="46"/>
        <v>0</v>
      </c>
      <c r="S47">
        <f t="shared" si="46"/>
        <v>0</v>
      </c>
      <c r="T47">
        <f t="shared" si="6"/>
        <v>0</v>
      </c>
      <c r="V47">
        <v>1</v>
      </c>
      <c r="W47">
        <f t="shared" si="7"/>
        <v>0</v>
      </c>
    </row>
    <row r="48" spans="1:23" x14ac:dyDescent="0.3">
      <c r="A48" s="3">
        <f t="shared" si="2"/>
        <v>22</v>
      </c>
      <c r="B48" s="3" t="str">
        <f t="shared" si="44"/>
        <v>Шевцов Владислав Витальевич</v>
      </c>
      <c r="C48">
        <f t="shared" ref="C48:J48" si="47">IF(C23="+",$C$26,0)</f>
        <v>4.5</v>
      </c>
      <c r="D48">
        <f t="shared" si="47"/>
        <v>4.5</v>
      </c>
      <c r="E48">
        <f t="shared" si="47"/>
        <v>0</v>
      </c>
      <c r="F48">
        <f t="shared" si="47"/>
        <v>4.5</v>
      </c>
      <c r="G48">
        <f t="shared" si="47"/>
        <v>0</v>
      </c>
      <c r="H48">
        <f t="shared" si="47"/>
        <v>0</v>
      </c>
      <c r="I48">
        <f t="shared" si="47"/>
        <v>0</v>
      </c>
      <c r="J48">
        <f t="shared" si="47"/>
        <v>0</v>
      </c>
      <c r="K48">
        <f t="shared" si="4"/>
        <v>0</v>
      </c>
      <c r="L48">
        <f t="shared" ref="L48:S48" si="48">IF(L23="+",$C$26,0)</f>
        <v>0</v>
      </c>
      <c r="M48">
        <f t="shared" si="48"/>
        <v>0</v>
      </c>
      <c r="N48">
        <f t="shared" si="48"/>
        <v>0</v>
      </c>
      <c r="O48">
        <f t="shared" si="48"/>
        <v>0</v>
      </c>
      <c r="P48">
        <f t="shared" si="48"/>
        <v>0</v>
      </c>
      <c r="Q48">
        <f t="shared" si="48"/>
        <v>0</v>
      </c>
      <c r="R48">
        <f t="shared" si="48"/>
        <v>4.5</v>
      </c>
      <c r="S48">
        <f t="shared" si="48"/>
        <v>0</v>
      </c>
      <c r="T48">
        <f t="shared" si="6"/>
        <v>0</v>
      </c>
      <c r="V48">
        <v>1</v>
      </c>
      <c r="W48">
        <f t="shared" si="7"/>
        <v>18</v>
      </c>
    </row>
    <row r="49" spans="1:23" x14ac:dyDescent="0.3">
      <c r="A49" s="3">
        <f t="shared" si="2"/>
        <v>23</v>
      </c>
      <c r="B49" s="3" t="str">
        <f t="shared" si="44"/>
        <v>Ябжанов Аян Валерьевич</v>
      </c>
      <c r="C49">
        <f t="shared" ref="C49:J49" si="49">IF(C24="+",$C$26,0)</f>
        <v>4.5</v>
      </c>
      <c r="D49">
        <f t="shared" si="49"/>
        <v>4.5</v>
      </c>
      <c r="E49">
        <f t="shared" si="49"/>
        <v>0</v>
      </c>
      <c r="F49">
        <f t="shared" si="49"/>
        <v>0</v>
      </c>
      <c r="G49">
        <f t="shared" si="49"/>
        <v>0</v>
      </c>
      <c r="H49">
        <f t="shared" si="49"/>
        <v>4.5</v>
      </c>
      <c r="I49">
        <f t="shared" si="49"/>
        <v>0</v>
      </c>
      <c r="J49">
        <f t="shared" si="49"/>
        <v>0</v>
      </c>
      <c r="K49">
        <f t="shared" si="4"/>
        <v>0</v>
      </c>
      <c r="L49">
        <f t="shared" ref="L49:S49" si="50">IF(L24="+",$C$26,0)</f>
        <v>4.5</v>
      </c>
      <c r="M49">
        <f t="shared" si="50"/>
        <v>0</v>
      </c>
      <c r="N49">
        <f t="shared" si="50"/>
        <v>4.5</v>
      </c>
      <c r="O49">
        <f t="shared" si="50"/>
        <v>0</v>
      </c>
      <c r="P49">
        <f t="shared" si="50"/>
        <v>4.5</v>
      </c>
      <c r="Q49">
        <f t="shared" si="50"/>
        <v>0</v>
      </c>
      <c r="R49">
        <f t="shared" si="50"/>
        <v>4.5</v>
      </c>
      <c r="S49">
        <f t="shared" si="50"/>
        <v>4.5</v>
      </c>
      <c r="T49">
        <f t="shared" si="6"/>
        <v>0</v>
      </c>
      <c r="V49">
        <v>1</v>
      </c>
      <c r="W49">
        <f t="shared" si="7"/>
        <v>36</v>
      </c>
    </row>
    <row r="51" spans="1:23" x14ac:dyDescent="0.3">
      <c r="A51" s="8" t="s">
        <v>0</v>
      </c>
      <c r="B51" s="8" t="s">
        <v>46</v>
      </c>
      <c r="C51" s="8" t="s">
        <v>47</v>
      </c>
      <c r="D51" s="8" t="s">
        <v>48</v>
      </c>
    </row>
    <row r="52" spans="1:23" x14ac:dyDescent="0.3">
      <c r="A52" s="5">
        <f>A27</f>
        <v>1</v>
      </c>
      <c r="B52" s="5" t="str">
        <f>B27</f>
        <v>Блинова Анна Алексеевна</v>
      </c>
      <c r="C52" s="6">
        <f>ROUND(W27,0)</f>
        <v>78</v>
      </c>
      <c r="D52" s="7" t="str">
        <f>IF(C52&gt;=55,"Зачет","-")</f>
        <v>Зачет</v>
      </c>
    </row>
    <row r="53" spans="1:23" x14ac:dyDescent="0.3">
      <c r="A53" s="5">
        <f t="shared" ref="A53:B53" si="51">A28</f>
        <v>2</v>
      </c>
      <c r="B53" s="5" t="str">
        <f t="shared" si="51"/>
        <v>Булах Влада Александровна</v>
      </c>
      <c r="C53" s="6">
        <f t="shared" ref="C53:C74" si="52">ROUND(W28,0)</f>
        <v>50</v>
      </c>
      <c r="D53" s="7" t="str">
        <f t="shared" ref="D53:D74" si="53">IF(C53&gt;=55,"Зачет","-")</f>
        <v>-</v>
      </c>
    </row>
    <row r="54" spans="1:23" x14ac:dyDescent="0.3">
      <c r="A54" s="5">
        <f t="shared" ref="A54:B54" si="54">A29</f>
        <v>3</v>
      </c>
      <c r="B54" s="5" t="str">
        <f t="shared" si="54"/>
        <v>Давыдов Степан Евгеньевич</v>
      </c>
      <c r="C54" s="6">
        <f t="shared" si="52"/>
        <v>69</v>
      </c>
      <c r="D54" s="7" t="str">
        <f t="shared" si="53"/>
        <v>Зачет</v>
      </c>
    </row>
    <row r="55" spans="1:23" x14ac:dyDescent="0.3">
      <c r="A55" s="5">
        <f t="shared" ref="A55:B55" si="55">A30</f>
        <v>4</v>
      </c>
      <c r="B55" s="5" t="str">
        <f t="shared" si="55"/>
        <v>Дога Дмитрий Вадимович</v>
      </c>
      <c r="C55" s="6">
        <f t="shared" si="52"/>
        <v>88</v>
      </c>
      <c r="D55" s="7" t="str">
        <f t="shared" si="53"/>
        <v>Зачет</v>
      </c>
    </row>
    <row r="56" spans="1:23" x14ac:dyDescent="0.3">
      <c r="A56" s="5">
        <f t="shared" ref="A56:B56" si="56">A31</f>
        <v>5</v>
      </c>
      <c r="B56" s="5" t="str">
        <f t="shared" si="56"/>
        <v>Желудков Александр Сергеевич</v>
      </c>
      <c r="C56" s="6">
        <f t="shared" si="52"/>
        <v>32</v>
      </c>
      <c r="D56" s="7" t="str">
        <f t="shared" si="53"/>
        <v>-</v>
      </c>
    </row>
    <row r="57" spans="1:23" x14ac:dyDescent="0.3">
      <c r="A57" s="5">
        <f t="shared" ref="A57:B57" si="57">A32</f>
        <v>6</v>
      </c>
      <c r="B57" s="5" t="str">
        <f t="shared" si="57"/>
        <v>Колесова Милена Иннокентьевна</v>
      </c>
      <c r="C57" s="6">
        <f t="shared" si="52"/>
        <v>55</v>
      </c>
      <c r="D57" s="7" t="str">
        <f t="shared" si="53"/>
        <v>Зачет</v>
      </c>
    </row>
    <row r="58" spans="1:23" x14ac:dyDescent="0.3">
      <c r="A58" s="5">
        <f t="shared" ref="A58:B58" si="58">A33</f>
        <v>7</v>
      </c>
      <c r="B58" s="5" t="str">
        <f t="shared" si="58"/>
        <v>Крупиков Пётр Анатольевич</v>
      </c>
      <c r="C58" s="6">
        <f t="shared" si="52"/>
        <v>27</v>
      </c>
      <c r="D58" s="7" t="str">
        <f t="shared" si="53"/>
        <v>-</v>
      </c>
    </row>
    <row r="59" spans="1:23" x14ac:dyDescent="0.3">
      <c r="A59" s="5">
        <f t="shared" ref="A59:B59" si="59">A34</f>
        <v>8</v>
      </c>
      <c r="B59" s="5" t="str">
        <f t="shared" si="59"/>
        <v>Курицына Дарья Алексеевна</v>
      </c>
      <c r="C59" s="6">
        <f t="shared" si="52"/>
        <v>69</v>
      </c>
      <c r="D59" s="7" t="str">
        <f t="shared" si="53"/>
        <v>Зачет</v>
      </c>
    </row>
    <row r="60" spans="1:23" x14ac:dyDescent="0.3">
      <c r="A60" s="5">
        <f t="shared" ref="A60:B60" si="60">A35</f>
        <v>9</v>
      </c>
      <c r="B60" s="5" t="str">
        <f t="shared" si="60"/>
        <v>Ли Алина Александровна</v>
      </c>
      <c r="C60" s="6">
        <f t="shared" si="52"/>
        <v>68</v>
      </c>
      <c r="D60" s="7" t="str">
        <f t="shared" si="53"/>
        <v>Зачет</v>
      </c>
    </row>
    <row r="61" spans="1:23" x14ac:dyDescent="0.3">
      <c r="A61" s="5">
        <f t="shared" ref="A61:B61" si="61">A36</f>
        <v>10</v>
      </c>
      <c r="B61" s="5" t="str">
        <f t="shared" si="61"/>
        <v>Милованова Ольга Владимировна</v>
      </c>
      <c r="C61" s="6">
        <f t="shared" si="52"/>
        <v>36</v>
      </c>
      <c r="D61" s="7" t="str">
        <f t="shared" si="53"/>
        <v>-</v>
      </c>
    </row>
    <row r="62" spans="1:23" x14ac:dyDescent="0.3">
      <c r="A62" s="5">
        <f t="shared" ref="A62:B62" si="62">A37</f>
        <v>11</v>
      </c>
      <c r="B62" s="5" t="str">
        <f t="shared" si="62"/>
        <v>Нгуен Тхань Хоа -</v>
      </c>
      <c r="C62" s="6">
        <f t="shared" si="52"/>
        <v>64</v>
      </c>
      <c r="D62" s="7" t="str">
        <f t="shared" si="53"/>
        <v>Зачет</v>
      </c>
    </row>
    <row r="63" spans="1:23" x14ac:dyDescent="0.3">
      <c r="A63" s="5">
        <f t="shared" ref="A63:B63" si="63">A38</f>
        <v>12</v>
      </c>
      <c r="B63" s="5" t="str">
        <f t="shared" si="63"/>
        <v>Петрукович Арсений Сергеевич</v>
      </c>
      <c r="C63" s="6">
        <f t="shared" si="52"/>
        <v>36</v>
      </c>
      <c r="D63" s="7" t="str">
        <f t="shared" si="53"/>
        <v>-</v>
      </c>
    </row>
    <row r="64" spans="1:23" x14ac:dyDescent="0.3">
      <c r="A64" s="5">
        <f t="shared" ref="A64:B64" si="64">A39</f>
        <v>13</v>
      </c>
      <c r="B64" s="5" t="str">
        <f t="shared" si="64"/>
        <v>Платонова Александра Борисовна</v>
      </c>
      <c r="C64" s="6">
        <f t="shared" si="52"/>
        <v>69</v>
      </c>
      <c r="D64" s="7" t="str">
        <f t="shared" si="53"/>
        <v>Зачет</v>
      </c>
    </row>
    <row r="65" spans="1:4" x14ac:dyDescent="0.3">
      <c r="A65" s="5">
        <f t="shared" ref="A65:B65" si="65">A40</f>
        <v>14</v>
      </c>
      <c r="B65" s="5" t="str">
        <f t="shared" si="65"/>
        <v>Потапов Денис Витальевич</v>
      </c>
      <c r="C65" s="6">
        <f t="shared" si="52"/>
        <v>0</v>
      </c>
      <c r="D65" s="7" t="str">
        <f t="shared" si="53"/>
        <v>-</v>
      </c>
    </row>
    <row r="66" spans="1:4" x14ac:dyDescent="0.3">
      <c r="A66" s="5">
        <f t="shared" ref="A66:B66" si="66">A41</f>
        <v>15</v>
      </c>
      <c r="B66" s="5" t="str">
        <f t="shared" si="66"/>
        <v>Саматов Темиржан -</v>
      </c>
      <c r="C66" s="6">
        <f t="shared" si="52"/>
        <v>0</v>
      </c>
      <c r="D66" s="7" t="str">
        <f t="shared" si="53"/>
        <v>-</v>
      </c>
    </row>
    <row r="67" spans="1:4" x14ac:dyDescent="0.3">
      <c r="A67" s="5">
        <f t="shared" ref="A67:B67" si="67">A42</f>
        <v>16</v>
      </c>
      <c r="B67" s="5" t="str">
        <f t="shared" si="67"/>
        <v>Стребков Евгений Александрович</v>
      </c>
      <c r="C67" s="6">
        <f t="shared" si="52"/>
        <v>70</v>
      </c>
      <c r="D67" s="7" t="str">
        <f t="shared" si="53"/>
        <v>Зачет</v>
      </c>
    </row>
    <row r="68" spans="1:4" x14ac:dyDescent="0.3">
      <c r="A68" s="5">
        <f t="shared" ref="A68:B68" si="68">A43</f>
        <v>17</v>
      </c>
      <c r="B68" s="5" t="str">
        <f t="shared" si="68"/>
        <v>Тарандо Александр Станиславович</v>
      </c>
      <c r="C68" s="6">
        <f t="shared" si="52"/>
        <v>0</v>
      </c>
      <c r="D68" s="7" t="str">
        <f t="shared" si="53"/>
        <v>-</v>
      </c>
    </row>
    <row r="69" spans="1:4" x14ac:dyDescent="0.3">
      <c r="A69" s="5">
        <f t="shared" ref="A69:B69" si="69">A44</f>
        <v>18</v>
      </c>
      <c r="B69" s="5" t="str">
        <f t="shared" si="69"/>
        <v>Файзуллина Алина Маратовна</v>
      </c>
      <c r="C69" s="6">
        <f t="shared" si="52"/>
        <v>9</v>
      </c>
      <c r="D69" s="7" t="str">
        <f t="shared" si="53"/>
        <v>-</v>
      </c>
    </row>
    <row r="70" spans="1:4" x14ac:dyDescent="0.3">
      <c r="A70" s="5">
        <f t="shared" ref="A70:B70" si="70">A45</f>
        <v>19</v>
      </c>
      <c r="B70" s="5" t="str">
        <f t="shared" si="70"/>
        <v>Федина Александра Евгеньевна</v>
      </c>
      <c r="C70" s="6">
        <f t="shared" si="52"/>
        <v>0</v>
      </c>
      <c r="D70" s="7" t="str">
        <f t="shared" si="53"/>
        <v>-</v>
      </c>
    </row>
    <row r="71" spans="1:4" x14ac:dyDescent="0.3">
      <c r="A71" s="5">
        <f t="shared" ref="A71:B71" si="71">A46</f>
        <v>20</v>
      </c>
      <c r="B71" s="5" t="str">
        <f t="shared" si="71"/>
        <v>Филимонов Михаил Андреевич</v>
      </c>
      <c r="C71" s="6">
        <f t="shared" si="52"/>
        <v>68</v>
      </c>
      <c r="D71" s="7" t="str">
        <f t="shared" si="53"/>
        <v>Зачет</v>
      </c>
    </row>
    <row r="72" spans="1:4" x14ac:dyDescent="0.3">
      <c r="A72" s="5">
        <f t="shared" ref="A72:B72" si="72">A47</f>
        <v>21</v>
      </c>
      <c r="B72" s="5" t="str">
        <f t="shared" si="72"/>
        <v>Шамшура Мария Алексеевна</v>
      </c>
      <c r="C72" s="6">
        <f t="shared" si="52"/>
        <v>0</v>
      </c>
      <c r="D72" s="7" t="str">
        <f t="shared" si="53"/>
        <v>-</v>
      </c>
    </row>
    <row r="73" spans="1:4" x14ac:dyDescent="0.3">
      <c r="A73" s="5">
        <f t="shared" ref="A73:B73" si="73">A48</f>
        <v>22</v>
      </c>
      <c r="B73" s="5" t="str">
        <f t="shared" si="73"/>
        <v>Шевцов Владислав Витальевич</v>
      </c>
      <c r="C73" s="6">
        <f t="shared" si="52"/>
        <v>18</v>
      </c>
      <c r="D73" s="7" t="str">
        <f t="shared" si="53"/>
        <v>-</v>
      </c>
    </row>
    <row r="74" spans="1:4" x14ac:dyDescent="0.3">
      <c r="A74" s="5">
        <f t="shared" ref="A74:B74" si="74">A49</f>
        <v>23</v>
      </c>
      <c r="B74" s="5" t="str">
        <f t="shared" si="74"/>
        <v>Ябжанов Аян Валерьевич</v>
      </c>
      <c r="C74" s="6">
        <f t="shared" si="52"/>
        <v>36</v>
      </c>
      <c r="D74" s="7" t="str">
        <f t="shared" si="53"/>
        <v>-</v>
      </c>
    </row>
  </sheetData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2021-06-06T07:16:23Z</dcterms:modified>
</cp:coreProperties>
</file>